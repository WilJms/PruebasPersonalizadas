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5d0b964c54a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8d5071e96ca4d61"/>
    <x:sheet xmlns:r="http://schemas.openxmlformats.org/officeDocument/2006/relationships" name="Assumptions" sheetId="2" r:id="R70bbee8e9b574435"/>
    <x:sheet xmlns:r="http://schemas.openxmlformats.org/officeDocument/2006/relationships" name="Model Prices" sheetId="3" r:id="R65f87085ed054e5c"/>
    <x:sheet xmlns:r="http://schemas.openxmlformats.org/officeDocument/2006/relationships" name="Call Profile" sheetId="4" r:id="R7ca0c4c6d664471b"/>
    <x:sheet xmlns:r="http://schemas.openxmlformats.org/officeDocument/2006/relationships" name="Scenarios" sheetId="5" r:id="R72ba9483dc9947b5"/>
    <x:sheet xmlns:r="http://schemas.openxmlformats.org/officeDocument/2006/relationships" name="Components" sheetId="6" r:id="R1c72e07694874f2e"/>
    <x:sheet xmlns:r="http://schemas.openxmlformats.org/officeDocument/2006/relationships" name="Model Matrix" sheetId="7" r:id="R001aa577f3814f40"/>
    <x:sheet xmlns:r="http://schemas.openxmlformats.org/officeDocument/2006/relationships" name="Sources" sheetId="8" r:id="R8909fd2d9c494bb9"/>
  </x:sheets>
</x:workbook>
</file>

<file path=xl/comments1.xml><?xml version="1.0" encoding="utf-8"?>
<x:comments xmlns:x="http://schemas.openxmlformats.org/spreadsheetml/2006/main">
  <x:authors>
    <x:author>tc={554BAB91-F4F9-30DC-674A-FF26CC111A9E}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contingency applied after the per-submission call profile. Replace with measured p95 retry/escalation variance after the pilot.</x:t>
        </x:r>
      </x:text>
    </x:comment>
  </x:commentList>
</x:comments>
</file>

<file path=xl/comments2.xml><?xml version="1.0" encoding="utf-8"?>
<x:comments xmlns:x="http://schemas.openxmlformats.org/spreadsheetml/2006/main">
  <x:authors>
    <x:author>tc={9922939F-A3FF-BB70-CF56-D741B3DAAB71}</x:author>
  </x:authors>
  <x:commentList>
    <x:comment ref="Q1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Frequency multiplier is 20%, so the Sol arbitration row contributes only to the assumed hard-case fraction.</x:t>
        </x:r>
      </x:text>
    </x:comment>
  </x:commentList>
</x:comments>
</file>

<file path=xl/comments3.xml><?xml version="1.0" encoding="utf-8"?>
<x:comments xmlns:x="http://schemas.openxmlformats.org/spreadsheetml/2006/main">
  <x:authors>
    <x:author>tc={5F2CBD4A-CBF2-8F66-A08F-5988440A2C88}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is the LLM-only cost per submission after contingency. It excludes OCR, infrastructure, storage and human review, which are added in the scenario table.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%"/>
    <x:numFmt numFmtId="202" formatCode="$0.000"/>
    <x:numFmt numFmtId="203" formatCode="0.0"/>
    <x:numFmt numFmtId="204" formatCode="$#,##0.00"/>
    <x:numFmt numFmtId="205" formatCode="$0.0000"/>
    <x:numFmt numFmtId="206" formatCode="0%"/>
    <x:numFmt numFmtId="207" formatCode="0.000"/>
    <x:numFmt numFmtId="208" formatCode="$0.00"/>
    <x:numFmt numFmtId="209" formatCode="0"/>
  </x:numFmts>
  <x:fonts count="2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2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0"/>
      <x:color rgb="FF1D2939"/>
      <x:name val="Carlito"/>
    </x:font>
    <x:font>
      <x:sz val="10"/>
      <x:color rgb="FF1D2939"/>
      <x:name val="Carlito"/>
    </x:font>
    <x:font>
      <x:b/>
      <x:sz val="11"/>
      <x:color rgb="FF0B4F8A"/>
      <x:name val="Carlito"/>
    </x:font>
    <x:font>
      <x:b/>
      <x:sz val="11"/>
      <x:color rgb="FF1F5A24"/>
      <x:name val="Carlito"/>
    </x:font>
    <x:font>
      <x:b/>
      <x:sz val="10"/>
      <x:color rgb="FF0B6E69"/>
      <x:name val="Carlito"/>
    </x:font>
    <x:font>
      <x:b/>
      <x:sz val="10"/>
      <x:color rgb="FF0B4F8A"/>
      <x:name val="Carlito"/>
    </x:font>
    <x:font>
      <x:sz val="10"/>
      <x:color rgb="FF0B4F8A"/>
      <x:name val="Carlito"/>
    </x:font>
    <x:font>
      <x:b/>
      <x:sz val="10"/>
      <x:color rgb="FF17324D"/>
      <x:name val="Carlito"/>
    </x:font>
    <x:font>
      <x:sz val="10"/>
      <x:color rgb="FF1F5A24"/>
      <x:name val="Carlito"/>
    </x:font>
    <x:font>
      <x:sz val="11"/>
      <x:color rgb="FF1D2939"/>
      <x:name val="Carlito"/>
    </x:font>
    <x:font>
      <x:sz val="11"/>
      <x:color rgb="FF1F2937"/>
      <x:name val="Carlito"/>
    </x:font>
    <x:font>
      <x:b/>
      <x:sz val="11"/>
      <x:color rgb="FF0563C1"/>
      <x:name val="Carlito"/>
    </x:font>
    <x:font>
      <x:i/>
      <x:sz val="11"/>
      <x:color rgb="FF17324D"/>
      <x:name val="Carlito"/>
    </x:font>
    <x:font>
      <x:b/>
      <x:sz val="11"/>
      <x:color rgb="FF375623"/>
      <x:name val="Carlito"/>
    </x:font>
    <x:font>
      <x:sz val="9"/>
      <x:color rgb="FF374151"/>
      <x:name val="Aptos"/>
    </x:font>
    <x:font>
      <x:b/>
      <x:sz val="9"/>
      <x:color rgb="FF17365D"/>
      <x:name val="Aptos"/>
    </x:font>
    <x:font>
      <x:sz val="9"/>
      <x:color rgb="FF1F5A96"/>
      <x:name val="Aptos"/>
    </x:font>
    <x:font>
      <x:sz val="9"/>
      <x:color rgb="FF3F6B35"/>
      <x:name val="Aptos"/>
    </x:font>
  </x:fonts>
  <x:fills count="2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F1"/>
      </x:patternFill>
    </x:fill>
    <x:fill>
      <x:patternFill patternType="solid">
        <x:fgColor rgb="FFF2F4F7"/>
      </x:patternFill>
    </x:fill>
    <x:fill>
      <x:patternFill patternType="solid">
        <x:fgColor rgb="FF0B6E69"/>
      </x:patternFill>
    </x:fill>
    <x:fill>
      <x:patternFill patternType="solid">
        <x:fgColor rgb="FFE8F1FB"/>
      </x:patternFill>
    </x:fill>
    <x:fill>
      <x:patternFill patternType="solid">
        <x:fgColor rgb="FFEEF6E9"/>
      </x:patternFill>
    </x:fill>
    <x:fill>
      <x:patternFill patternType="solid">
        <x:fgColor rgb="FFFFF4D6"/>
      </x:patternFill>
    </x:fill>
    <x:fill>
      <x:patternFill patternType="solid">
        <x:fgColor rgb="FFFDE7E9"/>
      </x:patternFill>
    </x:fill>
    <x:fill>
      <x:patternFill patternType="solid">
        <x:fgColor rgb="FFDDEBF7"/>
      </x:patternFill>
    </x:fill>
    <x:fill>
      <x:patternFill patternType="solid">
        <x:fgColor rgb="FF17324D"/>
      </x:patternFill>
    </x:fill>
    <x:fill>
      <x:patternFill patternType="solid">
        <x:fgColor rgb="FFDDF3F1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007C72"/>
      </x:patternFill>
    </x:fill>
    <x:fill>
      <x:patternFill patternType="solid">
        <x:fgColor rgb="FFFFFFFF"/>
      </x:patternFill>
    </x:fill>
    <x:fill>
      <x:patternFill patternType="solid">
        <x:fgColor rgb="FFDCEAF7"/>
      </x:patternFill>
    </x:fill>
    <x:fill>
      <x:patternFill patternType="solid">
        <x:fgColor rgb="FFEAF4E3"/>
      </x:patternFill>
    </x:fill>
  </x:fills>
  <x:borders count="38">
    <x:border/>
    <x:border>
      <x:bottom style="thin">
        <x:color rgb="FFD0D5DD"/>
      </x:bottom>
    </x:border>
    <x:border>
      <x:bottom style="medium">
        <x:color rgb="FF17324D"/>
      </x:bottom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B7C9C6"/>
      </x:left>
      <x:top style="thin">
        <x:color rgb="FFB7C9C6"/>
      </x:top>
    </x:border>
    <x:border>
      <x:right style="thin">
        <x:color rgb="FFB7C9C6"/>
      </x:right>
      <x:top style="thin">
        <x:color rgb="FFB7C9C6"/>
      </x:top>
    </x:border>
    <x:border>
      <x:left style="thin">
        <x:color rgb="FFB7C9C6"/>
      </x:left>
    </x:border>
    <x:border>
      <x:right style="thin">
        <x:color rgb="FFB7C9C6"/>
      </x:right>
    </x:border>
    <x:border>
      <x:left style="thin">
        <x:color rgb="FFB7C9C6"/>
      </x:left>
      <x:bottom style="thin">
        <x:color rgb="FFB7C9C6"/>
      </x:bottom>
    </x:border>
    <x:border>
      <x:right style="thin">
        <x:color rgb="FFB7C9C6"/>
      </x:right>
      <x:bottom style="thin">
        <x:color rgb="FFB7C9C6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B7C9C6"/>
      </x:left>
      <x:top style="thin">
        <x:color rgb="FFB7C9C6"/>
      </x:top>
      <x:bottom style="thin">
        <x:color rgb="FFB7C9C6"/>
      </x:bottom>
    </x:border>
    <x:border>
      <x:top style="thin">
        <x:color rgb="FFB7C9C6"/>
      </x:top>
      <x:bottom style="thin">
        <x:color rgb="FFB7C9C6"/>
      </x:bottom>
    </x:border>
    <x:border>
      <x:right style="thin">
        <x:color rgb="FFB7C9C6"/>
      </x:right>
      <x:top style="thin">
        <x:color rgb="FFB7C9C6"/>
      </x:top>
      <x:bottom style="thin">
        <x:color rgb="FFB7C9C6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7" fillId="0" borderId="1" xfId="0" applyNumberFormat="1" applyFont="1" applyFill="1" applyBorder="1"/>
    <x:xf numFmtId="0" fontId="6" fillId="5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6" fillId="6" borderId="0" xfId="0" applyNumberFormat="1" applyFont="1" applyFill="1" applyBorder="1"/>
    <x:xf numFmtId="0" fontId="6" fillId="7" borderId="0" xfId="0" applyNumberFormat="1" applyFont="1" applyFill="1" applyBorder="1"/>
    <x:xf numFmtId="0" fontId="7" fillId="8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11" fillId="6" borderId="0" xfId="0" applyNumberFormat="1" applyFont="1" applyFill="1" applyBorder="1" applyAlignment="1">
      <x:alignment vertical="top" wrapText="1"/>
    </x:xf>
    <x:xf numFmtId="0" fontId="11" fillId="6" borderId="1" xfId="0" applyNumberFormat="1" applyFont="1" applyFill="1" applyBorder="1" applyAlignment="1">
      <x:alignment vertical="top" wrapText="1"/>
    </x:xf>
    <x:xf numFmtId="200" fontId="11" fillId="6" borderId="0" xfId="0" applyNumberFormat="1" applyFont="1" applyFill="1" applyBorder="1" applyAlignment="1">
      <x:alignment vertical="top" wrapText="1"/>
    </x:xf>
    <x:xf numFmtId="201" fontId="11" fillId="6" borderId="0" xfId="0" applyNumberFormat="1" applyFont="1" applyFill="1" applyBorder="1" applyAlignment="1">
      <x:alignment vertical="top" wrapText="1"/>
    </x:xf>
    <x:xf numFmtId="202" fontId="11" fillId="6" borderId="0" xfId="0" applyNumberFormat="1" applyFont="1" applyFill="1" applyBorder="1" applyAlignment="1">
      <x:alignment vertical="top" wrapText="1"/>
    </x:xf>
    <x:xf numFmtId="203" fontId="11" fillId="6" borderId="0" xfId="0" applyNumberFormat="1" applyFont="1" applyFill="1" applyBorder="1" applyAlignment="1">
      <x:alignment vertical="top" wrapText="1"/>
    </x:xf>
    <x:xf numFmtId="204" fontId="11" fillId="6" borderId="0" xfId="0" applyNumberFormat="1" applyFont="1" applyFill="1" applyBorder="1" applyAlignment="1">
      <x:alignment vertical="top" wrapText="1"/>
    </x:xf>
    <x:xf numFmtId="205" fontId="7" fillId="0" borderId="0" xfId="0" applyNumberFormat="1" applyFont="1" applyFill="1" applyBorder="1" applyAlignment="1">
      <x:alignment vertical="top" wrapText="1"/>
    </x:xf>
    <x:xf numFmtId="205" fontId="7" fillId="0" borderId="1" xfId="0" applyNumberFormat="1" applyFont="1" applyFill="1" applyBorder="1" applyAlignment="1">
      <x:alignment vertical="top" wrapText="1"/>
    </x:xf>
    <x:xf numFmtId="205" fontId="7" fillId="6" borderId="0" xfId="0" applyNumberFormat="1" applyFont="1" applyFill="1" applyBorder="1" applyAlignment="1">
      <x:alignment vertical="top" wrapText="1"/>
    </x:xf>
    <x:xf numFmtId="205" fontId="7" fillId="6" borderId="1" xfId="0" applyNumberFormat="1" applyFont="1" applyFill="1" applyBorder="1" applyAlignment="1">
      <x:alignment vertical="top" wrapText="1"/>
    </x:xf>
    <x:xf numFmtId="205" fontId="12" fillId="6" borderId="0" xfId="0" applyNumberFormat="1" applyFont="1" applyFill="1" applyBorder="1" applyAlignment="1">
      <x:alignment vertical="top" wrapText="1"/>
    </x:xf>
    <x:xf numFmtId="205" fontId="12" fillId="6" borderId="1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vertical="top" wrapText="1"/>
    </x:xf>
    <x:xf numFmtId="0" fontId="13" fillId="0" borderId="1" xfId="0" applyNumberFormat="1" applyFont="1" applyFill="1" applyBorder="1" applyAlignment="1">
      <x:alignment vertical="top" wrapText="1"/>
    </x:xf>
    <x:xf numFmtId="0" fontId="12" fillId="6" borderId="0" xfId="0" applyNumberFormat="1" applyFont="1" applyFill="1" applyBorder="1" applyAlignment="1">
      <x:alignment vertical="top" wrapText="1"/>
    </x:xf>
    <x:xf numFmtId="0" fontId="12" fillId="6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1" xfId="0" applyNumberFormat="1" applyFont="1" applyFill="1" applyBorder="1" applyAlignment="1">
      <x:alignment vertical="top" wrapText="1"/>
    </x:xf>
    <x:xf numFmtId="200" fontId="12" fillId="6" borderId="0" xfId="0" applyNumberFormat="1" applyFont="1" applyFill="1" applyBorder="1" applyAlignment="1">
      <x:alignment vertical="top" wrapText="1"/>
    </x:xf>
    <x:xf numFmtId="200" fontId="12" fillId="6" borderId="1" xfId="0" applyNumberFormat="1" applyFont="1" applyFill="1" applyBorder="1" applyAlignment="1">
      <x:alignment vertical="top" wrapText="1"/>
    </x:xf>
    <x:xf numFmtId="206" fontId="12" fillId="6" borderId="0" xfId="0" applyNumberFormat="1" applyFont="1" applyFill="1" applyBorder="1" applyAlignment="1">
      <x:alignment vertical="top" wrapText="1"/>
    </x:xf>
    <x:xf numFmtId="206" fontId="12" fillId="6" borderId="1" xfId="0" applyNumberFormat="1" applyFont="1" applyFill="1" applyBorder="1" applyAlignment="1">
      <x:alignment vertical="top" wrapText="1"/>
    </x:xf>
    <x:xf numFmtId="205" fontId="14" fillId="7" borderId="0" xfId="0" applyNumberFormat="1" applyFont="1" applyFill="1" applyBorder="1" applyAlignment="1">
      <x:alignment vertical="top" wrapText="1"/>
    </x:xf>
    <x:xf numFmtId="205" fontId="14" fillId="7" borderId="1" xfId="0" applyNumberFormat="1" applyFont="1" applyFill="1" applyBorder="1" applyAlignment="1">
      <x:alignment vertical="top" wrapText="1"/>
    </x:xf>
    <x:xf numFmtId="0" fontId="9" fillId="7" borderId="3" xfId="0" applyNumberFormat="1" applyFont="1" applyFill="1" applyBorder="1"/>
    <x:xf numFmtId="0" fontId="9" fillId="7" borderId="4" xfId="0" applyNumberFormat="1" applyFont="1" applyFill="1" applyBorder="1"/>
    <x:xf numFmtId="0" fontId="9" fillId="7" borderId="5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205" fontId="9" fillId="7" borderId="4" xfId="0" applyNumberFormat="1" applyFont="1" applyFill="1" applyBorder="1"/>
    <x:xf numFmtId="205" fontId="9" fillId="7" borderId="6" xfId="0" applyNumberFormat="1" applyFont="1" applyFill="1" applyBorder="1"/>
    <x:xf numFmtId="205" fontId="9" fillId="7" borderId="8" xfId="0" applyNumberFormat="1" applyFont="1" applyFill="1" applyBorder="1"/>
    <x:xf numFmtId="0" fontId="15" fillId="8" borderId="0" xfId="0" applyNumberFormat="1" applyFont="1" applyFill="1" applyBorder="1"/>
    <x:xf numFmtId="0" fontId="15" fillId="8" borderId="0" xfId="0" applyNumberFormat="1" applyFont="1" applyFill="1" applyBorder="1" applyAlignment="1">
      <x:alignment wrapText="1"/>
    </x:xf>
    <x:xf numFmtId="0" fontId="15" fillId="8" borderId="0" xfId="0" applyNumberFormat="1" applyFont="1" applyFill="1" applyBorder="1" applyAlignment="1">
      <x:alignment vertical="center" wrapText="1"/>
    </x:xf>
    <x:xf numFmtId="200" fontId="14" fillId="7" borderId="0" xfId="0" applyNumberFormat="1" applyFont="1" applyFill="1" applyBorder="1" applyAlignment="1">
      <x:alignment vertical="top" wrapText="1"/>
    </x:xf>
    <x:xf numFmtId="200" fontId="14" fillId="7" borderId="1" xfId="0" applyNumberFormat="1" applyFont="1" applyFill="1" applyBorder="1" applyAlignment="1">
      <x:alignment vertical="top" wrapText="1"/>
    </x:xf>
    <x:xf numFmtId="207" fontId="12" fillId="6" borderId="0" xfId="0" applyNumberFormat="1" applyFont="1" applyFill="1" applyBorder="1" applyAlignment="1">
      <x:alignment vertical="top" wrapText="1"/>
    </x:xf>
    <x:xf numFmtId="207" fontId="12" fillId="6" borderId="1" xfId="0" applyNumberFormat="1" applyFont="1" applyFill="1" applyBorder="1" applyAlignment="1">
      <x:alignment vertical="top" wrapText="1"/>
    </x:xf>
    <x:xf numFmtId="203" fontId="12" fillId="6" borderId="0" xfId="0" applyNumberFormat="1" applyFont="1" applyFill="1" applyBorder="1" applyAlignment="1">
      <x:alignment vertical="top" wrapText="1"/>
    </x:xf>
    <x:xf numFmtId="203" fontId="12" fillId="6" borderId="1" xfId="0" applyNumberFormat="1" applyFont="1" applyFill="1" applyBorder="1" applyAlignment="1">
      <x:alignment vertical="top" wrapText="1"/>
    </x:xf>
    <x:xf numFmtId="204" fontId="12" fillId="6" borderId="0" xfId="0" applyNumberFormat="1" applyFont="1" applyFill="1" applyBorder="1" applyAlignment="1">
      <x:alignment vertical="top" wrapText="1"/>
    </x:xf>
    <x:xf numFmtId="204" fontId="14" fillId="7" borderId="0" xfId="0" applyNumberFormat="1" applyFont="1" applyFill="1" applyBorder="1" applyAlignment="1">
      <x:alignment vertical="top" wrapText="1"/>
    </x:xf>
    <x:xf numFmtId="204" fontId="12" fillId="6" borderId="1" xfId="0" applyNumberFormat="1" applyFont="1" applyFill="1" applyBorder="1" applyAlignment="1">
      <x:alignment vertical="top" wrapText="1"/>
    </x:xf>
    <x:xf numFmtId="204" fontId="14" fillId="7" borderId="1" xfId="0" applyNumberFormat="1" applyFont="1" applyFill="1" applyBorder="1" applyAlignment="1">
      <x:alignment vertical="top" wrapText="1"/>
    </x:xf>
    <x:xf numFmtId="208" fontId="14" fillId="7" borderId="0" xfId="0" applyNumberFormat="1" applyFont="1" applyFill="1" applyBorder="1" applyAlignment="1">
      <x:alignment vertical="top" wrapText="1"/>
    </x:xf>
    <x:xf numFmtId="208" fontId="14" fillId="7" borderId="1" xfId="0" applyNumberFormat="1" applyFont="1" applyFill="1" applyBorder="1" applyAlignment="1">
      <x:alignment vertical="top" wrapText="1"/>
    </x:xf>
    <x:xf numFmtId="208" fontId="0" fillId="0" borderId="0" xfId="0" applyNumberFormat="1" applyFont="1" applyFill="1" applyBorder="1"/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vertical="top" wrapText="1"/>
    </x:xf>
    <x:xf numFmtId="0" fontId="16" fillId="10" borderId="0" xfId="0" applyNumberFormat="1" applyFont="1" applyFill="1" applyBorder="1" applyAlignment="1">
      <x:alignment vertical="top" wrapText="1"/>
    </x:xf>
    <x:xf numFmtId="0" fontId="17" fillId="10" borderId="0" xfId="0" applyNumberFormat="1" applyFont="1" applyFill="1" applyBorder="1" applyAlignment="1">
      <x:alignment vertical="top" wrapText="1"/>
    </x:xf>
    <x:xf numFmtId="200" fontId="17" fillId="10" borderId="0" xfId="0" applyNumberFormat="1" applyFont="1" applyFill="1" applyBorder="1" applyAlignment="1">
      <x:alignment vertical="top" wrapText="1"/>
    </x:xf>
    <x:xf numFmtId="202" fontId="17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8" fillId="12" borderId="0" xfId="0" applyNumberFormat="1" applyFont="1" applyFill="1" applyBorder="1"/>
    <x:xf numFmtId="0" fontId="18" fillId="12" borderId="0" xfId="0" applyNumberFormat="1" applyFont="1" applyFill="1" applyBorder="1" applyAlignment="1">
      <x:alignment wrapText="1"/>
    </x:xf>
    <x:xf numFmtId="0" fontId="18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0" fillId="14" borderId="0" xfId="0" applyNumberFormat="1" applyFont="1" applyFill="1" applyBorder="1"/>
    <x:xf numFmtId="0" fontId="19" fillId="14" borderId="0" xfId="0" applyNumberFormat="1" applyFont="1" applyFill="1" applyBorder="1"/>
    <x:xf numFmtId="205" fontId="19" fillId="14" borderId="0" xfId="0" applyNumberFormat="1" applyFont="1" applyFill="1" applyBorder="1"/>
    <x:xf numFmtId="200" fontId="19" fillId="14" borderId="0" xfId="0" applyNumberFormat="1" applyFont="1" applyFill="1" applyBorder="1"/>
    <x:xf numFmtId="201" fontId="19" fillId="14" borderId="0" xfId="0" applyNumberFormat="1" applyFont="1" applyFill="1" applyBorder="1"/>
    <x:xf numFmtId="0" fontId="5" fillId="13" borderId="9" xfId="0" applyNumberFormat="1" applyFont="1" applyFill="1" applyBorder="1"/>
    <x:xf numFmtId="205" fontId="19" fillId="14" borderId="10" xfId="0" applyNumberFormat="1" applyFont="1" applyFill="1" applyBorder="1"/>
    <x:xf numFmtId="0" fontId="5" fillId="13" borderId="11" xfId="0" applyNumberFormat="1" applyFont="1" applyFill="1" applyBorder="1"/>
    <x:xf numFmtId="205" fontId="19" fillId="14" borderId="12" xfId="0" applyNumberFormat="1" applyFont="1" applyFill="1" applyBorder="1"/>
    <x:xf numFmtId="200" fontId="19" fillId="14" borderId="12" xfId="0" applyNumberFormat="1" applyFont="1" applyFill="1" applyBorder="1"/>
    <x:xf numFmtId="0" fontId="5" fillId="13" borderId="13" xfId="0" applyNumberFormat="1" applyFont="1" applyFill="1" applyBorder="1"/>
    <x:xf numFmtId="201" fontId="19" fillId="14" borderId="14" xfId="0" applyNumberFormat="1" applyFont="1" applyFill="1" applyBorder="1"/>
    <x:xf numFmtId="0" fontId="0" fillId="15" borderId="0" xfId="0" applyNumberFormat="1" applyFont="1" applyFill="1" applyBorder="1"/>
    <x:xf numFmtId="0" fontId="16" fillId="15" borderId="0" xfId="0" applyNumberFormat="1" applyFont="1" applyFill="1" applyBorder="1"/>
    <x:xf numFmtId="0" fontId="16" fillId="15" borderId="15" xfId="0" applyNumberFormat="1" applyFont="1" applyFill="1" applyBorder="1"/>
    <x:xf numFmtId="0" fontId="16" fillId="15" borderId="16" xfId="0" applyNumberFormat="1" applyFont="1" applyFill="1" applyBorder="1"/>
    <x:xf numFmtId="0" fontId="16" fillId="15" borderId="17" xfId="0" applyNumberFormat="1" applyFont="1" applyFill="1" applyBorder="1"/>
    <x:xf numFmtId="0" fontId="16" fillId="15" borderId="18" xfId="0" applyNumberFormat="1" applyFont="1" applyFill="1" applyBorder="1"/>
    <x:xf numFmtId="0" fontId="16" fillId="15" xfId="0" applyNumberFormat="1" applyFont="1" applyFill="1" applyBorder="0"/>
    <x:xf numFmtId="0" fontId="16" fillId="15" borderId="19" xfId="0" applyNumberFormat="1" applyFont="1" applyFill="1" applyBorder="1"/>
    <x:xf numFmtId="0" fontId="16" fillId="15" borderId="20" xfId="0" applyNumberFormat="1" applyFont="1" applyFill="1" applyBorder="1"/>
    <x:xf numFmtId="0" fontId="16" fillId="15" borderId="21" xfId="0" applyNumberFormat="1" applyFont="1" applyFill="1" applyBorder="1"/>
    <x:xf numFmtId="0" fontId="16" fillId="15" borderId="22" xfId="0" applyNumberFormat="1" applyFont="1" applyFill="1" applyBorder="1"/>
    <x:xf numFmtId="0" fontId="16" fillId="15" borderId="15" xfId="0" applyNumberFormat="1" applyFont="1" applyFill="1" applyBorder="1" applyAlignment="1">
      <x:alignment wrapText="1"/>
    </x:xf>
    <x:xf numFmtId="0" fontId="16" fillId="15" borderId="16" xfId="0" applyNumberFormat="1" applyFont="1" applyFill="1" applyBorder="1" applyAlignment="1">
      <x:alignment wrapText="1"/>
    </x:xf>
    <x:xf numFmtId="0" fontId="16" fillId="15" borderId="17" xfId="0" applyNumberFormat="1" applyFont="1" applyFill="1" applyBorder="1" applyAlignment="1">
      <x:alignment wrapText="1"/>
    </x:xf>
    <x:xf numFmtId="0" fontId="16" fillId="15" borderId="18" xfId="0" applyNumberFormat="1" applyFont="1" applyFill="1" applyBorder="1" applyAlignment="1">
      <x:alignment wrapText="1"/>
    </x:xf>
    <x:xf numFmtId="0" fontId="16" fillId="15" xfId="0" applyNumberFormat="1" applyFont="1" applyFill="1" applyBorder="0" applyAlignment="1">
      <x:alignment wrapText="1"/>
    </x:xf>
    <x:xf numFmtId="0" fontId="16" fillId="15" borderId="19" xfId="0" applyNumberFormat="1" applyFont="1" applyFill="1" applyBorder="1" applyAlignment="1">
      <x:alignment wrapText="1"/>
    </x:xf>
    <x:xf numFmtId="0" fontId="16" fillId="15" borderId="20" xfId="0" applyNumberFormat="1" applyFont="1" applyFill="1" applyBorder="1" applyAlignment="1">
      <x:alignment wrapText="1"/>
    </x:xf>
    <x:xf numFmtId="0" fontId="16" fillId="15" borderId="21" xfId="0" applyNumberFormat="1" applyFont="1" applyFill="1" applyBorder="1" applyAlignment="1">
      <x:alignment wrapText="1"/>
    </x:xf>
    <x:xf numFmtId="0" fontId="16" fillId="15" borderId="22" xfId="0" applyNumberFormat="1" applyFont="1" applyFill="1" applyBorder="1" applyAlignment="1">
      <x:alignment wrapText="1"/>
    </x:xf>
    <x:xf numFmtId="0" fontId="16" fillId="15" borderId="15" xfId="0" applyNumberFormat="1" applyFont="1" applyFill="1" applyBorder="1" applyAlignment="1">
      <x:alignment vertical="top" wrapText="1"/>
    </x:xf>
    <x:xf numFmtId="0" fontId="16" fillId="15" borderId="16" xfId="0" applyNumberFormat="1" applyFont="1" applyFill="1" applyBorder="1" applyAlignment="1">
      <x:alignment vertical="top" wrapText="1"/>
    </x:xf>
    <x:xf numFmtId="0" fontId="16" fillId="15" borderId="17" xfId="0" applyNumberFormat="1" applyFont="1" applyFill="1" applyBorder="1" applyAlignment="1">
      <x:alignment vertical="top" wrapText="1"/>
    </x:xf>
    <x:xf numFmtId="0" fontId="16" fillId="15" borderId="18" xfId="0" applyNumberFormat="1" applyFont="1" applyFill="1" applyBorder="1" applyAlignment="1">
      <x:alignment vertical="top" wrapText="1"/>
    </x:xf>
    <x:xf numFmtId="0" fontId="16" fillId="15" xfId="0" applyNumberFormat="1" applyFont="1" applyFill="1" applyBorder="0" applyAlignment="1">
      <x:alignment vertical="top" wrapText="1"/>
    </x:xf>
    <x:xf numFmtId="0" fontId="16" fillId="15" borderId="19" xfId="0" applyNumberFormat="1" applyFont="1" applyFill="1" applyBorder="1" applyAlignment="1">
      <x:alignment vertical="top" wrapText="1"/>
    </x:xf>
    <x:xf numFmtId="0" fontId="16" fillId="15" borderId="20" xfId="0" applyNumberFormat="1" applyFont="1" applyFill="1" applyBorder="1" applyAlignment="1">
      <x:alignment vertical="top" wrapText="1"/>
    </x:xf>
    <x:xf numFmtId="0" fontId="16" fillId="15" borderId="21" xfId="0" applyNumberFormat="1" applyFont="1" applyFill="1" applyBorder="1" applyAlignment="1">
      <x:alignment vertical="top" wrapText="1"/>
    </x:xf>
    <x:xf numFmtId="0" fontId="16" fillId="15" borderId="22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23" xfId="0" applyNumberFormat="1" applyFont="1" applyFill="1" applyBorder="1"/>
    <x:xf numFmtId="0" fontId="4" fillId="16" borderId="24" xfId="0" applyNumberFormat="1" applyFont="1" applyFill="1" applyBorder="1"/>
    <x:xf numFmtId="0" fontId="4" fillId="16" borderId="25" xfId="0" applyNumberFormat="1" applyFont="1" applyFill="1" applyBorder="1"/>
    <x:xf numFmtId="0" fontId="4" fillId="16" borderId="23" xfId="0" applyNumberFormat="1" applyFont="1" applyFill="1" applyBorder="1" applyAlignment="1">
      <x:alignment wrapText="1"/>
    </x:xf>
    <x:xf numFmtId="0" fontId="4" fillId="16" borderId="24" xfId="0" applyNumberFormat="1" applyFont="1" applyFill="1" applyBorder="1" applyAlignment="1">
      <x:alignment wrapText="1"/>
    </x:xf>
    <x:xf numFmtId="0" fontId="4" fillId="16" borderId="25" xfId="0" applyNumberFormat="1" applyFont="1" applyFill="1" applyBorder="1" applyAlignment="1">
      <x:alignment wrapText="1"/>
    </x:xf>
    <x:xf numFmtId="0" fontId="4" fillId="16" borderId="23" xfId="0" applyNumberFormat="1" applyFont="1" applyFill="1" applyBorder="1" applyAlignment="1">
      <x:alignment vertical="center" wrapText="1"/>
    </x:xf>
    <x:xf numFmtId="0" fontId="4" fillId="16" borderId="24" xfId="0" applyNumberFormat="1" applyFont="1" applyFill="1" applyBorder="1" applyAlignment="1">
      <x:alignment vertical="center" wrapText="1"/>
    </x:xf>
    <x:xf numFmtId="0" fontId="4" fillId="16" borderId="25" xfId="0" applyNumberFormat="1" applyFont="1" applyFill="1" applyBorder="1" applyAlignment="1">
      <x:alignment vertical="center" wrapText="1"/>
    </x:xf>
    <x:xf numFmtId="0" fontId="16" fillId="0" borderId="26" xfId="0" applyNumberFormat="1" applyFont="1" applyFill="1" applyBorder="1"/>
    <x:xf numFmtId="0" fontId="16" fillId="0" borderId="27" xfId="0" applyNumberFormat="1" applyFont="1" applyFill="1" applyBorder="1"/>
    <x:xf numFmtId="0" fontId="16" fillId="0" borderId="28" xfId="0" applyNumberFormat="1" applyFont="1" applyFill="1" applyBorder="1"/>
    <x:xf numFmtId="0" fontId="16" fillId="0" borderId="26" xfId="0" applyNumberFormat="1" applyFont="1" applyFill="1" applyBorder="1" applyAlignment="1">
      <x:alignment vertical="center"/>
    </x:xf>
    <x:xf numFmtId="0" fontId="16" fillId="0" borderId="27" xfId="0" applyNumberFormat="1" applyFont="1" applyFill="1" applyBorder="1" applyAlignment="1">
      <x:alignment vertical="center"/>
    </x:xf>
    <x:xf numFmtId="0" fontId="16" fillId="0" borderId="28" xfId="0" applyNumberFormat="1" applyFont="1" applyFill="1" applyBorder="1" applyAlignment="1">
      <x:alignment vertical="center"/>
    </x:xf>
    <x:xf numFmtId="0" fontId="16" fillId="10" borderId="26" xfId="0" applyNumberFormat="1" applyFont="1" applyFill="1" applyBorder="1" applyAlignment="1">
      <x:alignment vertical="center"/>
    </x:xf>
    <x:xf numFmtId="0" fontId="16" fillId="10" borderId="27" xfId="0" applyNumberFormat="1" applyFont="1" applyFill="1" applyBorder="1" applyAlignment="1">
      <x:alignment vertical="center"/>
    </x:xf>
    <x:xf numFmtId="0" fontId="16" fillId="10" borderId="28" xfId="0" applyNumberFormat="1" applyFont="1" applyFill="1" applyBorder="1" applyAlignment="1">
      <x:alignment vertical="center"/>
    </x:xf>
    <x:xf numFmtId="0" fontId="16" fillId="14" borderId="26" xfId="0" applyNumberFormat="1" applyFont="1" applyFill="1" applyBorder="1" applyAlignment="1">
      <x:alignment vertical="center"/>
    </x:xf>
    <x:xf numFmtId="0" fontId="16" fillId="14" borderId="27" xfId="0" applyNumberFormat="1" applyFont="1" applyFill="1" applyBorder="1" applyAlignment="1">
      <x:alignment vertical="center"/>
    </x:xf>
    <x:xf numFmtId="0" fontId="16" fillId="14" borderId="28" xfId="0" applyNumberFormat="1" applyFont="1" applyFill="1" applyBorder="1" applyAlignment="1">
      <x:alignment vertical="center"/>
    </x:xf>
    <x:xf numFmtId="0" fontId="16" fillId="15" borderId="26" xfId="0" applyNumberFormat="1" applyFont="1" applyFill="1" applyBorder="1" applyAlignment="1">
      <x:alignment vertical="center"/>
    </x:xf>
    <x:xf numFmtId="0" fontId="5" fillId="15" borderId="26" xfId="0" applyNumberFormat="1" applyFont="1" applyFill="1" applyBorder="1" applyAlignment="1">
      <x:alignment vertical="center"/>
    </x:xf>
    <x:xf numFmtId="200" fontId="16" fillId="10" borderId="26" xfId="0" applyNumberFormat="1" applyFont="1" applyFill="1" applyBorder="1" applyAlignment="1">
      <x:alignment vertical="center"/>
    </x:xf>
    <x:xf numFmtId="200" fontId="16" fillId="14" borderId="26" xfId="0" applyNumberFormat="1" applyFont="1" applyFill="1" applyBorder="1" applyAlignment="1">
      <x:alignment vertical="center"/>
    </x:xf>
    <x:xf numFmtId="200" fontId="16" fillId="10" borderId="27" xfId="0" applyNumberFormat="1" applyFont="1" applyFill="1" applyBorder="1" applyAlignment="1">
      <x:alignment vertical="center"/>
    </x:xf>
    <x:xf numFmtId="200" fontId="16" fillId="14" borderId="27" xfId="0" applyNumberFormat="1" applyFont="1" applyFill="1" applyBorder="1" applyAlignment="1">
      <x:alignment vertical="center"/>
    </x:xf>
    <x:xf numFmtId="200" fontId="16" fillId="10" borderId="28" xfId="0" applyNumberFormat="1" applyFont="1" applyFill="1" applyBorder="1" applyAlignment="1">
      <x:alignment vertical="center"/>
    </x:xf>
    <x:xf numFmtId="200" fontId="16" fillId="14" borderId="28" xfId="0" applyNumberFormat="1" applyFont="1" applyFill="1" applyBorder="1" applyAlignment="1">
      <x:alignment vertical="center"/>
    </x:xf>
    <x:xf numFmtId="203" fontId="16" fillId="10" borderId="26" xfId="0" applyNumberFormat="1" applyFont="1" applyFill="1" applyBorder="1" applyAlignment="1">
      <x:alignment vertical="center"/>
    </x:xf>
    <x:xf numFmtId="203" fontId="16" fillId="10" borderId="27" xfId="0" applyNumberFormat="1" applyFont="1" applyFill="1" applyBorder="1" applyAlignment="1">
      <x:alignment vertical="center"/>
    </x:xf>
    <x:xf numFmtId="203" fontId="16" fillId="10" borderId="28" xfId="0" applyNumberFormat="1" applyFont="1" applyFill="1" applyBorder="1" applyAlignment="1">
      <x:alignment vertical="center"/>
    </x:xf>
    <x:xf numFmtId="207" fontId="16" fillId="10" borderId="26" xfId="0" applyNumberFormat="1" applyFont="1" applyFill="1" applyBorder="1" applyAlignment="1">
      <x:alignment vertical="center"/>
    </x:xf>
    <x:xf numFmtId="207" fontId="16" fillId="10" borderId="27" xfId="0" applyNumberFormat="1" applyFont="1" applyFill="1" applyBorder="1" applyAlignment="1">
      <x:alignment vertical="center"/>
    </x:xf>
    <x:xf numFmtId="207" fontId="16" fillId="10" borderId="28" xfId="0" applyNumberFormat="1" applyFont="1" applyFill="1" applyBorder="1" applyAlignment="1">
      <x:alignment vertical="center"/>
    </x:xf>
    <x:xf numFmtId="202" fontId="16" fillId="10" borderId="26" xfId="0" applyNumberFormat="1" applyFont="1" applyFill="1" applyBorder="1" applyAlignment="1">
      <x:alignment vertical="center"/>
    </x:xf>
    <x:xf numFmtId="202" fontId="16" fillId="10" borderId="27" xfId="0" applyNumberFormat="1" applyFont="1" applyFill="1" applyBorder="1" applyAlignment="1">
      <x:alignment vertical="center"/>
    </x:xf>
    <x:xf numFmtId="202" fontId="16" fillId="10" borderId="28" xfId="0" applyNumberFormat="1" applyFont="1" applyFill="1" applyBorder="1" applyAlignment="1">
      <x:alignment vertical="center"/>
    </x:xf>
    <x:xf numFmtId="204" fontId="16" fillId="10" borderId="26" xfId="0" applyNumberFormat="1" applyFont="1" applyFill="1" applyBorder="1" applyAlignment="1">
      <x:alignment vertical="center"/>
    </x:xf>
    <x:xf numFmtId="204" fontId="16" fillId="14" borderId="26" xfId="0" applyNumberFormat="1" applyFont="1" applyFill="1" applyBorder="1" applyAlignment="1">
      <x:alignment vertical="center"/>
    </x:xf>
    <x:xf numFmtId="204" fontId="16" fillId="10" borderId="27" xfId="0" applyNumberFormat="1" applyFont="1" applyFill="1" applyBorder="1" applyAlignment="1">
      <x:alignment vertical="center"/>
    </x:xf>
    <x:xf numFmtId="204" fontId="16" fillId="14" borderId="27" xfId="0" applyNumberFormat="1" applyFont="1" applyFill="1" applyBorder="1" applyAlignment="1">
      <x:alignment vertical="center"/>
    </x:xf>
    <x:xf numFmtId="204" fontId="16" fillId="10" borderId="28" xfId="0" applyNumberFormat="1" applyFont="1" applyFill="1" applyBorder="1" applyAlignment="1">
      <x:alignment vertical="center"/>
    </x:xf>
    <x:xf numFmtId="204" fontId="16" fillId="14" borderId="28" xfId="0" applyNumberFormat="1" applyFont="1" applyFill="1" applyBorder="1" applyAlignment="1">
      <x:alignment vertical="center"/>
    </x:xf>
    <x:xf numFmtId="208" fontId="16" fillId="14" borderId="26" xfId="0" applyNumberFormat="1" applyFont="1" applyFill="1" applyBorder="1" applyAlignment="1">
      <x:alignment vertical="center"/>
    </x:xf>
    <x:xf numFmtId="208" fontId="16" fillId="14" borderId="27" xfId="0" applyNumberFormat="1" applyFont="1" applyFill="1" applyBorder="1" applyAlignment="1">
      <x:alignment vertical="center"/>
    </x:xf>
    <x:xf numFmtId="208" fontId="16" fillId="14" borderId="28" xfId="0" applyNumberFormat="1" applyFont="1" applyFill="1" applyBorder="1" applyAlignment="1">
      <x:alignment vertical="center"/>
    </x:xf>
    <x:xf numFmtId="0" fontId="16" fillId="0" borderId="29" xfId="0" applyNumberFormat="1" applyFont="1" applyFill="1" applyBorder="1"/>
    <x:xf numFmtId="0" fontId="16" fillId="0" borderId="30" xfId="0" applyNumberFormat="1" applyFont="1" applyFill="1" applyBorder="1"/>
    <x:xf numFmtId="0" fontId="16" fillId="0" borderId="31" xfId="0" applyNumberFormat="1" applyFont="1" applyFill="1" applyBorder="1"/>
    <x:xf numFmtId="0" fontId="16" fillId="0" borderId="32" xfId="0" applyNumberFormat="1" applyFont="1" applyFill="1" applyBorder="1"/>
    <x:xf numFmtId="0" fontId="16" fillId="0" borderId="33" xfId="0" applyNumberFormat="1" applyFont="1" applyFill="1" applyBorder="1"/>
    <x:xf numFmtId="0" fontId="16" fillId="0" borderId="34" xfId="0" applyNumberFormat="1" applyFont="1" applyFill="1" applyBorder="1"/>
    <x:xf numFmtId="0" fontId="16" fillId="0" borderId="35" xfId="0" applyNumberFormat="1" applyFont="1" applyFill="1" applyBorder="1"/>
    <x:xf numFmtId="0" fontId="16" fillId="0" borderId="36" xfId="0" applyNumberFormat="1" applyFont="1" applyFill="1" applyBorder="1"/>
    <x:xf numFmtId="0" fontId="16" fillId="0" borderId="37" xfId="0" applyNumberFormat="1" applyFont="1" applyFill="1" applyBorder="1"/>
    <x:xf numFmtId="208" fontId="16" fillId="0" borderId="30" xfId="0" applyNumberFormat="1" applyFont="1" applyFill="1" applyBorder="1"/>
    <x:xf numFmtId="208" fontId="16" fillId="0" borderId="31" xfId="0" applyNumberFormat="1" applyFont="1" applyFill="1" applyBorder="1"/>
    <x:xf numFmtId="208" fontId="16" fillId="0" borderId="33" xfId="0" applyNumberFormat="1" applyFont="1" applyFill="1" applyBorder="1"/>
    <x:xf numFmtId="208" fontId="16" fillId="0" borderId="34" xfId="0" applyNumberFormat="1" applyFont="1" applyFill="1" applyBorder="1"/>
    <x:xf numFmtId="208" fontId="16" fillId="0" borderId="36" xfId="0" applyNumberFormat="1" applyFont="1" applyFill="1" applyBorder="1"/>
    <x:xf numFmtId="208" fontId="16" fillId="0" borderId="37" xfId="0" applyNumberFormat="1" applyFont="1" applyFill="1" applyBorder="1"/>
    <x:xf numFmtId="208" fontId="16" fillId="14" borderId="30" xfId="0" applyNumberFormat="1" applyFont="1" applyFill="1" applyBorder="1"/>
    <x:xf numFmtId="208" fontId="16" fillId="14" borderId="33" xfId="0" applyNumberFormat="1" applyFont="1" applyFill="1" applyBorder="1"/>
    <x:xf numFmtId="208" fontId="16" fillId="14" borderId="36" xfId="0" applyNumberFormat="1" applyFont="1" applyFill="1" applyBorder="1"/>
    <x:xf numFmtId="208" fontId="16" fillId="15" borderId="31" xfId="0" applyNumberFormat="1" applyFont="1" applyFill="1" applyBorder="1"/>
    <x:xf numFmtId="208" fontId="16" fillId="15" borderId="34" xfId="0" applyNumberFormat="1" applyFont="1" applyFill="1" applyBorder="1"/>
    <x:xf numFmtId="208" fontId="16" fillId="15" borderId="37" xfId="0" applyNumberFormat="1" applyFont="1" applyFill="1" applyBorder="1"/>
    <x:xf numFmtId="0" fontId="20" fillId="0" borderId="0" xfId="0" applyNumberFormat="1" applyFont="1" applyFill="1" applyBorder="1"/>
    <x:xf numFmtId="0" fontId="20" fillId="0" borderId="0" xfId="0" applyNumberFormat="1" applyFont="1" applyFill="1" applyBorder="1" applyAlignment="1">
      <x:alignment wrapText="1"/>
    </x:xf>
    <x:xf numFmtId="0" fontId="20" fillId="0" borderId="0" xfId="0" applyNumberFormat="1" applyFont="1" applyFill="1" applyBorder="1" applyAlignment="1">
      <x:alignment vertical="center" wrapText="1"/>
    </x:xf>
    <x:xf numFmtId="0" fontId="20" fillId="17" borderId="0" xfId="0" applyNumberFormat="1" applyFont="1" applyFill="1" applyBorder="1" applyAlignment="1">
      <x:alignment vertical="center" wrapText="1"/>
    </x:xf>
    <x:xf numFmtId="0" fontId="20" fillId="18" borderId="0" xfId="0" applyNumberFormat="1" applyFont="1" applyFill="1" applyBorder="1" applyAlignment="1">
      <x:alignment vertical="center" wrapText="1"/>
    </x:xf>
    <x:xf numFmtId="0" fontId="20" fillId="19" borderId="0" xfId="0" applyNumberFormat="1" applyFont="1" applyFill="1" applyBorder="1" applyAlignment="1">
      <x:alignment vertical="center" wrapText="1"/>
    </x:xf>
    <x:xf numFmtId="0" fontId="21" fillId="17" borderId="0" xfId="0" applyNumberFormat="1" applyFont="1" applyFill="1" applyBorder="1" applyAlignment="1">
      <x:alignment vertical="center" wrapText="1"/>
    </x:xf>
    <x:xf numFmtId="0" fontId="22" fillId="18" borderId="0" xfId="0" applyNumberFormat="1" applyFont="1" applyFill="1" applyBorder="1" applyAlignment="1">
      <x:alignment vertical="center" wrapText="1"/>
    </x:xf>
    <x:xf numFmtId="0" fontId="23" fillId="19" borderId="0" xfId="0" applyNumberFormat="1" applyFont="1" applyFill="1" applyBorder="1" applyAlignment="1">
      <x:alignment vertical="center" wrapText="1"/>
    </x:xf>
    <x:xf numFmtId="209" fontId="22" fillId="18" borderId="0" xfId="0" applyNumberFormat="1" applyFont="1" applyFill="1" applyBorder="1" applyAlignment="1">
      <x:alignment vertical="center" wrapText="1"/>
    </x:xf>
    <x:xf numFmtId="206" fontId="22" fillId="18" borderId="0" xfId="0" applyNumberFormat="1" applyFont="1" applyFill="1" applyBorder="1" applyAlignment="1">
      <x:alignment vertical="center" wrapText="1"/>
    </x:xf>
    <x:xf numFmtId="205" fontId="23" fillId="19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20" fillId="17" borderId="0" xfId="0" applyNumberFormat="1" applyFont="1" applyFill="1" applyBorder="1"/>
    <x:xf numFmtId="0" fontId="20" fillId="17" borderId="0" xfId="0" applyNumberFormat="1" applyFont="1" applyFill="1" applyBorder="1" applyAlignment="1">
      <x:alignment wrapText="1"/>
    </x:xf>
    <x:xf numFmtId="205" fontId="22" fillId="1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border>
        <x:left style="medium">
          <x:color rgb="FF0B6E69"/>
        </x:left>
      </x:border>
    </x:dxf>
    <x:dxf>
      <x:font>
        <x:b/>
        <x:color rgb="FF0B6E69"/>
      </x:font>
      <x:fill>
        <x:patternFill>
          <x:bgColor rgb="FFDDF3F1"/>
        </x:patternFill>
      </x:fill>
    </x:dxf>
    <x:dxf>
      <x:font>
        <x:b/>
        <x:color rgb="FF17324D"/>
      </x:font>
      <x:fill>
        <x:patternFill>
          <x:bgColor rgb="FFFFF4D6"/>
        </x:patternFill>
      </x:fill>
    </x:dxf>
    <x:dxf>
      <x:font>
        <x:b/>
      </x:font>
      <x:fill>
        <x:patternFill>
          <x:bgColor rgb="FFFDE7E9"/>
        </x:patternFill>
      </x:fill>
    </x:dxf>
    <x:dxf>
      <x:fill>
        <x:patternFill>
          <x:bgColor rgb="FFDDF3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444e127c3f476b" /><Relationship Type="http://schemas.openxmlformats.org/officeDocument/2006/relationships/theme" Target="/xl/theme/theme1.xml" Id="R40f798fdf2334214" /><Relationship Type="http://schemas.openxmlformats.org/officeDocument/2006/relationships/sharedStrings" Target="/xl/sharedStrings.xml" Id="R6fe802d4ab4d4c04" /><Relationship Type="http://schemas.openxmlformats.org/officeDocument/2006/relationships/worksheet" Target="/xl/worksheets/sheet1.xml" Id="R58d5071e96ca4d61" /><Relationship Type="http://schemas.openxmlformats.org/officeDocument/2006/relationships/worksheet" Target="/xl/worksheets/sheet2.xml" Id="R70bbee8e9b574435" /><Relationship Type="http://schemas.openxmlformats.org/officeDocument/2006/relationships/worksheet" Target="/xl/worksheets/sheet3.xml" Id="R65f87085ed054e5c" /><Relationship Type="http://schemas.openxmlformats.org/officeDocument/2006/relationships/worksheet" Target="/xl/worksheets/sheet4.xml" Id="R7ca0c4c6d664471b" /><Relationship Type="http://schemas.openxmlformats.org/officeDocument/2006/relationships/worksheet" Target="/xl/worksheets/sheet5.xml" Id="R72ba9483dc9947b5" /><Relationship Type="http://schemas.openxmlformats.org/officeDocument/2006/relationships/worksheet" Target="/xl/worksheets/sheet6.xml" Id="R1c72e07694874f2e" /><Relationship Type="http://schemas.openxmlformats.org/officeDocument/2006/relationships/worksheet" Target="/xl/worksheets/sheet7.xml" Id="R001aa577f3814f40" /><Relationship Type="http://schemas.openxmlformats.org/officeDocument/2006/relationships/worksheet" Target="/xl/worksheets/sheet8.xml" Id="R8909fd2d9c494bb9" /><Relationship Type="http://schemas.microsoft.com/office/2017/10/relationships/person" Target="/xl/persons/person.xml" Id="Rdb54af65182c42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83595450a249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Cost components per delivery (USD)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Model/delivery</c:v>
          </c:tx>
          <c:cat>
            <c:strRef>
              <c:f>'Scenarios'!$T$22:$T$26</c:f>
              <c:strCache>
                <c:ptCount val="0"/>
              </c:strCache>
            </c:strRef>
          </c:cat>
          <c:val>
            <c:numRef>
              <c:f>'Scenarios'!$U$22:$U$26</c:f>
              <c:numCache>
                <c:formatCode>$0.00</c:formatCode>
                <c:ptCount val="0"/>
              </c:numCache>
            </c:numRef>
          </c:val>
        </c:ser>
        <c:ser>
          <c:idx val="1"/>
          <c:order val="1"/>
          <c:tx>
            <c:v>Other technical/delivery</c:v>
          </c:tx>
          <c:cat>
            <c:strRef>
              <c:f>'Scenarios'!$T$22:$T$26</c:f>
              <c:strCache>
                <c:ptCount val="0"/>
              </c:strCache>
            </c:strRef>
          </c:cat>
          <c:val>
            <c:numRef>
              <c:f>'Scenarios'!$V$22:$V$26</c:f>
              <c:numCache>
                <c:formatCode>$0.00</c:formatCode>
                <c:ptCount val="0"/>
              </c:numCache>
            </c:numRef>
          </c:val>
        </c:ser>
        <c:ser>
          <c:idx val="2"/>
          <c:order val="2"/>
          <c:tx>
            <c:v>Infrastructure/delivery</c:v>
          </c:tx>
          <c:cat>
            <c:strRef>
              <c:f>'Scenarios'!$T$22:$T$26</c:f>
              <c:strCache>
                <c:ptCount val="0"/>
              </c:strCache>
            </c:strRef>
          </c:cat>
          <c:val>
            <c:numRef>
              <c:f>'Scenarios'!$W$22:$W$26</c:f>
              <c:numCache>
                <c:formatCode>$0.00</c:formatCode>
                <c:ptCount val="0"/>
              </c:numCache>
            </c:numRef>
          </c:val>
        </c:ser>
        <c:ser>
          <c:idx val="3"/>
          <c:order val="3"/>
          <c:tx>
            <c:v>Human review/delivery</c:v>
          </c:tx>
          <c:cat>
            <c:strRef>
              <c:f>'Scenarios'!$T$22:$T$26</c:f>
              <c:strCache>
                <c:ptCount val="0"/>
              </c:strCache>
            </c:strRef>
          </c:cat>
          <c:val>
            <c:numRef>
              <c:f>'Scenarios'!$X$22:$X$26</c:f>
              <c:numCache>
                <c:formatCode>$0.00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19</xdr:col>
      <xdr:colOff>0</xdr:colOff>
      <xdr:row>1</xdr:row>
      <xdr:rowOff>0</xdr:rowOff>
    </xdr:from>
    <xdr:to>
      <xdr:col>28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83595450a24955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AB7FDF8E-CAA6-4AA0-B81A-526D499450E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7" dT="2026-07-18T00:30:10.086" personId="{AB7FDF8E-CAA6-4AA0-B81A-526D499450E4}" id="{554BAB91-F4F9-30DC-674A-FF26CC111A9E}">
    <xltc:text>Planning contingency applied after the per-submission call profile. Replace with measured p95 retry/escalation variance after the pilot.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Q14" dT="2026-07-18T00:30:10.086" personId="{AB7FDF8E-CAA6-4AA0-B81A-526D499450E4}" id="{9922939F-A3FF-BB70-CF56-D741B3DAAB71}">
    <xltc:text>Frequency multiplier is 20%, so the Sol arbitration row contributes only to the assumed hard-case fraction.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5" dT="2026-07-18T00:30:10.086" personId="{AB7FDF8E-CAA6-4AA0-B81A-526D499450E4}" id="{5F2CBD4A-CBF2-8F66-A08F-5988440A2C88}">
    <xltc:text>This is the LLM-only cost per submission after contingency. It excludes OCR, infrastructure, storage and human review, which are added in the scenario table.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7bc701f138247c5" /><Relationship Type="http://schemas.openxmlformats.org/officeDocument/2006/relationships/vmlDrawing" Target="/xl/drawings/vmldrawing.vml" Id="R5c9c040d101e4141" /><Relationship Type="http://schemas.microsoft.com/office/2017/10/relationships/threadedComment" Target="/xl/threadedcomments/threadedcomment.xml" Id="R95b4337f4fd64b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39e4597207ea483f" /><Relationship Type="http://schemas.openxmlformats.org/officeDocument/2006/relationships/vmlDrawing" Target="/xl/drawings/vmldrawing2.vml" Id="R34db071a59314251" /><Relationship Type="http://schemas.microsoft.com/office/2017/10/relationships/threadedComment" Target="/xl/threadedcomments/threadedcomment2.xml" Id="R37c29c3e28a24b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6b43acd64db643ca" /><Relationship Type="http://schemas.openxmlformats.org/officeDocument/2006/relationships/vmlDrawing" Target="/xl/drawings/vmldrawing3.vml" Id="Rf8d6175429944d63" /><Relationship Type="http://schemas.microsoft.com/office/2017/10/relationships/threadedComment" Target="/xl/threadedcomments/threadedcomment3.xml" Id="R820d33ce28264fc1" /><Relationship Type="http://schemas.openxmlformats.org/officeDocument/2006/relationships/drawing" Target="/xl/drawings/drawing1.xml" Id="Rd9891ead780941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3" t="str">
        <x:v>Architecture matrices and editable cost model v1.1</x:v>
      </x:c>
      <x:c r="B1" s="3" t="str">
        <x:v>Architecture matrices and editable cost model</x:v>
      </x:c>
      <x:c r="C1" s="3" t="str">
        <x:v>Architecture matrices and editable cost model</x:v>
      </x:c>
      <x:c r="D1" s="3" t="str">
        <x:v>Architecture matrices and editable cost model</x:v>
      </x:c>
      <x:c r="E1" s="3" t="str">
        <x:v>Architecture matrices and editable cost model</x:v>
      </x:c>
      <x:c r="F1" s="3" t="str">
        <x:v>Architecture matrices and editable cost model</x:v>
      </x:c>
    </x:row>
    <x:row r="2">
      <x:c r="A2" s="7" t="str">
        <x:v>Companion workbook for the cloud experimental MVP and future architecture. Pricing snapshot: 2026-08-08; route revision: 2026-08-08. Blue cells are editable assumptions.</x:v>
      </x:c>
      <x:c r="B2" s="7" t="str">
        <x:v>Companion workbook for the comprehension-verification assessment architecture. Pricing snapshot: 2026-07-17. All currency values are USD and all assumptions in blue cells are editable.</x:v>
      </x:c>
      <x:c r="C2" s="7" t="str">
        <x:v>Companion workbook for the comprehension-verification assessment architecture. Pricing snapshot: 2026-07-17. All currency values are USD and all assumptions in blue cells are editable.</x:v>
      </x:c>
      <x:c r="D2" s="7" t="str">
        <x:v>Companion workbook for the comprehension-verification assessment architecture. Pricing snapshot: 2026-07-17. All currency values are USD and all assumptions in blue cells are editable.</x:v>
      </x:c>
      <x:c r="E2" s="7" t="str">
        <x:v>Companion workbook for the comprehension-verification assessment architecture. Pricing snapshot: 2026-07-17. All currency values are USD and all assumptions in blue cells are editable.</x:v>
      </x:c>
      <x:c r="F2" s="7" t="str">
        <x:v>Companion workbook for the comprehension-verification assessment architecture. Pricing snapshot: 2026-07-17. All currency values are USD and all assumptions in blue cells are editable.</x:v>
      </x:c>
    </x:row>
    <x:row r="3">
      <x:c r="A3" s="7" t="str">
        <x:v>Companion workbook for the comprehension-verification assessment architecture. Pricing snapshot: 2026-07-17. All currency values are USD and all assumptions in blue cells are editable.</x:v>
      </x:c>
      <x:c r="B3" s="7" t="str">
        <x:v>Companion workbook for the comprehension-verification assessment architecture. Pricing snapshot: 2026-07-17. All currency values are USD and all assumptions in blue cells are editable.</x:v>
      </x:c>
      <x:c r="C3" s="7" t="str">
        <x:v>Companion workbook for the comprehension-verification assessment architecture. Pricing snapshot: 2026-07-17. All currency values are USD and all assumptions in blue cells are editable.</x:v>
      </x:c>
      <x:c r="D3" s="7" t="str">
        <x:v>Companion workbook for the comprehension-verification assessment architecture. Pricing snapshot: 2026-07-17. All currency values are USD and all assumptions in blue cells are editable.</x:v>
      </x:c>
      <x:c r="E3" s="7" t="str">
        <x:v>Companion workbook for the comprehension-verification assessment architecture. Pricing snapshot: 2026-07-17. All currency values are USD and all assumptions in blue cells are editable.</x:v>
      </x:c>
      <x:c r="F3" s="7" t="str">
        <x:v>Companion workbook for the comprehension-verification assessment architecture. Pricing snapshot: 2026-07-17. All currency values are USD and all assumptions in blue cells are editable.</x:v>
      </x:c>
    </x:row>
    <x:row r="5">
      <x:c r="A5" s="10" t="str">
        <x:v>How to use this workbook</x:v>
      </x:c>
      <x:c r="B5" s="10" t="str">
        <x:v>How to use this workbook</x:v>
      </x:c>
      <x:c r="C5" s="10" t="str">
        <x:v>How to use this workbook</x:v>
      </x:c>
      <x:c r="D5" s="10" t="str">
        <x:v>How to use this workbook</x:v>
      </x:c>
      <x:c r="E5" s="10" t="str">
        <x:v>How to use this workbook</x:v>
      </x:c>
      <x:c r="F5" s="10" t="str">
        <x:v>How to use this workbook</x:v>
      </x:c>
    </x:row>
    <x:row r="6" ht="48" customHeight="1">
      <x:c r="A6" s="27" t="str">
        <x:v>1</x:v>
      </x:c>
      <x:c r="B6" s="28" t="str">
        <x:v>Update Model Prices</x:v>
      </x:c>
      <x:c r="C6" s="29" t="str">
        <x:v>Replace prices and validity notes when providers change pricing.</x:v>
      </x:c>
      <x:c r="D6" s="29" t="str"/>
      <x:c r="E6" s="29" t="str"/>
      <x:c r="F6" s="29" t="str"/>
    </x:row>
    <x:row r="7" ht="48" customHeight="1">
      <x:c r="A7" s="27" t="str">
        <x:v>2</x:v>
      </x:c>
      <x:c r="B7" s="28" t="str">
        <x:v>Edit Assumptions</x:v>
      </x:c>
      <x:c r="C7" s="29" t="str">
        <x:v>Blue cells are planning inputs; formulas are green. Defaults are not quotations.</x:v>
      </x:c>
      <x:c r="D7" s="29" t="str"/>
      <x:c r="E7" s="29" t="str"/>
      <x:c r="F7" s="29" t="str"/>
    </x:row>
    <x:row r="8" ht="48" customHeight="1">
      <x:c r="A8" s="27" t="str">
        <x:v>3</x:v>
      </x:c>
      <x:c r="B8" s="28" t="str">
        <x:v>Tune Call Profile</x:v>
      </x:c>
      <x:c r="C8" s="29" t="str">
        <x:v>Adjust tokens, cache, batch and escalation using pilot telemetry by stage.</x:v>
      </x:c>
      <x:c r="D8" s="29" t="str"/>
      <x:c r="E8" s="29" t="str"/>
      <x:c r="F8" s="29" t="str"/>
    </x:row>
    <x:row r="9" ht="48" customHeight="1">
      <x:c r="A9" s="27" t="str">
        <x:v>4</x:v>
      </x:c>
      <x:c r="B9" s="28" t="str">
        <x:v>Review Scenarios</x:v>
      </x:c>
      <x:c r="C9" s="29" t="str">
        <x:v>Review the MVP cloud free-tier scenario. Infrastructure starts near USD 0 within free quotas; model APIs and human review remain explicit.</x:v>
      </x:c>
      <x:c r="D9" s="29" t="str"/>
      <x:c r="E9" s="29" t="str"/>
      <x:c r="F9" s="29" t="str"/>
    </x:row>
    <x:row r="10" ht="48" customHeight="1">
      <x:c r="A10" s="30" t="str">
        <x:v>5</x:v>
      </x:c>
      <x:c r="B10" s="31" t="str">
        <x:v>Use matrices</x:v>
      </x:c>
      <x:c r="C10" s="32" t="str">
        <x:v>Components and model routes support implementation and procurement decisions.</x:v>
      </x:c>
      <x:c r="D10" s="32" t="str"/>
      <x:c r="E10" s="32" t="str"/>
      <x:c r="F10" s="32" t="str"/>
    </x:row>
    <x:row r="12">
      <x:c r="A12" s="10" t="str">
        <x:v>Color and interpretation</x:v>
      </x:c>
      <x:c r="B12" s="10" t="str">
        <x:v>Color and interpretation</x:v>
      </x:c>
      <x:c r="C12" s="10" t="str">
        <x:v>Color and interpretation</x:v>
      </x:c>
      <x:c r="D12" s="10" t="str">
        <x:v>Color and interpretation</x:v>
      </x:c>
      <x:c r="E12" s="10" t="str">
        <x:v>Color and interpretation</x:v>
      </x:c>
      <x:c r="F12" s="10" t="str">
        <x:v>Color and interpretation</x:v>
      </x:c>
    </x:row>
    <x:row r="13" ht="42" customHeight="1">
      <x:c r="A13" s="48" t="str">
        <x:v>Editable input</x:v>
      </x:c>
      <x:c r="B13" s="48" t="str"/>
      <x:c r="C13" s="29" t="str">
        <x:v>Change this value to match contracts, telemetry or institutional policy.</x:v>
      </x:c>
      <x:c r="D13" s="29" t="str"/>
      <x:c r="E13" s="29" t="str"/>
      <x:c r="F13" s="29" t="str"/>
    </x:row>
    <x:row r="14" ht="42" customHeight="1">
      <x:c r="A14" s="49" t="str">
        <x:v>Formula / derived</x:v>
      </x:c>
      <x:c r="B14" s="49" t="str"/>
      <x:c r="C14" s="29" t="str">
        <x:v>Calculated from visible assumptions; do not hardcode scenario totals.</x:v>
      </x:c>
      <x:c r="D14" s="29" t="str"/>
      <x:c r="E14" s="29" t="str"/>
      <x:c r="F14" s="29" t="str"/>
    </x:row>
    <x:row r="15" ht="42" customHeight="1">
      <x:c r="A15" s="50" t="str">
        <x:v>Decision note</x:v>
      </x:c>
      <x:c r="B15" s="50" t="str"/>
      <x:c r="C15" s="29" t="str">
        <x:v>Important limitation, policy condition or date-sensitive assumption.</x:v>
      </x:c>
      <x:c r="D15" s="29" t="str"/>
      <x:c r="E15" s="29" t="str"/>
      <x:c r="F15" s="29" t="str"/>
    </x:row>
    <x:row r="16" ht="42" customHeight="1">
      <x:c r="A16" s="51" t="str">
        <x:v>Critical caveat</x:v>
      </x:c>
      <x:c r="B16" s="51" t="str"/>
      <x:c r="C16" s="32" t="str">
        <x:v>Quality/privacy constraints override cost optimization.</x:v>
      </x:c>
      <x:c r="D16" s="32" t="str"/>
      <x:c r="E16" s="32" t="str"/>
      <x:c r="F16" s="32" t="str"/>
    </x:row>
    <x:row r="18">
      <x:c r="A18" s="10" t="str">
        <x:v>Workbook map</x:v>
      </x:c>
      <x:c r="B18" s="10" t="str">
        <x:v>Workbook map</x:v>
      </x:c>
      <x:c r="C18" s="10" t="str">
        <x:v>Workbook map</x:v>
      </x:c>
      <x:c r="D18" s="10" t="str">
        <x:v>Workbook map</x:v>
      </x:c>
      <x:c r="E18" s="10" t="str">
        <x:v>Workbook map</x:v>
      </x:c>
      <x:c r="F18" s="10" t="str">
        <x:v>Workbook map</x:v>
      </x:c>
    </x:row>
    <x:row r="19" ht="40" customHeight="1">
      <x:c r="A19" s="52" t="str">
        <x:v>Assumptions</x:v>
      </x:c>
      <x:c r="B19" s="29" t="str">
        <x:v>Editable cost and operational inputs</x:v>
      </x:c>
      <x:c r="C19" s="29" t="str"/>
      <x:c r="D19" s="29" t="str"/>
      <x:c r="E19" s="29" t="str"/>
      <x:c r="F19" s="29" t="str"/>
    </x:row>
    <x:row r="20" ht="40" customHeight="1">
      <x:c r="A20" s="52" t="str">
        <x:v>Model Prices</x:v>
      </x:c>
      <x:c r="B20" s="29" t="str">
        <x:v>Provider price snapshot with source URLs</x:v>
      </x:c>
      <x:c r="C20" s="29" t="str"/>
      <x:c r="D20" s="29" t="str"/>
      <x:c r="E20" s="29" t="str"/>
      <x:c r="F20" s="29" t="str"/>
    </x:row>
    <x:row r="21" ht="40" customHeight="1">
      <x:c r="A21" s="52" t="str">
        <x:v>Call Profile</x:v>
      </x:c>
      <x:c r="B21" s="29" t="str">
        <x:v>P01-P09/P11 token and cost profile for LUNA_BASELINE_V1; the mixed Sol/Luna matrix is historical only and P10 remains disabled.</x:v>
      </x:c>
      <x:c r="C21" s="29" t="str"/>
      <x:c r="D21" s="29" t="str"/>
      <x:c r="E21" s="29" t="str"/>
      <x:c r="F21" s="29" t="str"/>
    </x:row>
    <x:row r="22" ht="40" customHeight="1">
      <x:c r="A22" s="52" t="str">
        <x:v>Scenarios</x:v>
      </x:c>
      <x:c r="B22" s="29" t="str">
        <x:v>Formula-driven experiment model separating model, technical, infrastructure and human-review costs</x:v>
      </x:c>
      <x:c r="C22" s="29" t="str"/>
      <x:c r="D22" s="29" t="str"/>
      <x:c r="E22" s="29" t="str"/>
      <x:c r="F22" s="29" t="str"/>
    </x:row>
    <x:row r="23" ht="40" customHeight="1">
      <x:c r="A23" s="52" t="str">
        <x:v>Components</x:v>
      </x:c>
      <x:c r="B23" s="29" t="str">
        <x:v>Cloud-first components: Cloud Run Service/Jobs, Supabase PostgreSQL/Auth and private R2.</x:v>
      </x:c>
      <x:c r="C23" s="29" t="str"/>
      <x:c r="D23" s="29" t="str"/>
      <x:c r="E23" s="29" t="str"/>
      <x:c r="F23" s="29" t="str"/>
    </x:row>
    <x:row r="24" ht="40" customHeight="1">
      <x:c r="A24" s="52" t="str">
        <x:v>Model Matrix</x:v>
      </x:c>
      <x:c r="B24" s="29" t="str">
        <x:v>Deterministic P01-P11 route configuration, capability gates and bake-off policy.</x:v>
      </x:c>
      <x:c r="C24" s="29" t="str"/>
      <x:c r="D24" s="29" t="str"/>
      <x:c r="E24" s="29" t="str"/>
      <x:c r="F24" s="29" t="str"/>
    </x:row>
    <x:row r="25" ht="40" customHeight="1">
      <x:c r="A25" s="52" t="str">
        <x:v>Sources</x:v>
      </x:c>
      <x:c r="B25" s="29" t="str">
        <x:v>Official pages used for dated facts</x:v>
      </x:c>
      <x:c r="C25" s="29" t="str"/>
      <x:c r="D25" s="29" t="str"/>
      <x:c r="E25" s="29" t="str"/>
      <x:c r="F25" s="29" t="str"/>
    </x:row>
    <x:row r="26" ht="40" customHeight="1">
      <x:c r="A26" s="53" t="str">
        <x:v>Note</x:v>
      </x:c>
      <x:c r="B26" s="53" t="str">
        <x:v>Human review is deliberately included: it dominates token cost in many scenarios.</x:v>
      </x:c>
      <x:c r="C26" s="53" t="str"/>
      <x:c r="D26" s="53" t="str"/>
      <x:c r="E26" s="53" t="str"/>
      <x:c r="F26" s="53" t="str"/>
    </x:row>
  </x:sheetData>
  <x:mergeCells>
    <x:mergeCell ref="A1:F1"/>
    <x:mergeCell ref="A2:F3"/>
    <x:mergeCell ref="A5:F5"/>
    <x:mergeCell ref="C6:F6"/>
    <x:mergeCell ref="C7:F7"/>
    <x:mergeCell ref="C8:F8"/>
    <x:mergeCell ref="C9:F9"/>
    <x:mergeCell ref="C10:F10"/>
    <x:mergeCell ref="A12:F12"/>
    <x:mergeCell ref="A13:B13"/>
    <x:mergeCell ref="C13:F13"/>
    <x:mergeCell ref="A14:B14"/>
    <x:mergeCell ref="C14:F14"/>
    <x:mergeCell ref="A15:B15"/>
    <x:mergeCell ref="C15:F15"/>
    <x:mergeCell ref="A16:B16"/>
    <x:mergeCell ref="C16:F16"/>
    <x:mergeCell ref="A18:F18"/>
    <x:mergeCell ref="B19:F19"/>
    <x:mergeCell ref="B20:F20"/>
    <x:mergeCell ref="B21:F21"/>
    <x:mergeCell ref="B22:F22"/>
    <x:mergeCell ref="B23:F23"/>
    <x:mergeCell ref="B24:F24"/>
    <x:mergeCell ref="B25:F25"/>
    <x:mergeCell ref="B26:F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6" hidden="0" customWidth="1"/>
    <x:col min="3" max="3" width="16" hidden="0" customWidth="1"/>
    <x:col min="4" max="4" width="47" hidden="0" customWidth="1"/>
    <x:col min="5" max="5" width="50" hidden="0" customWidth="1"/>
  </x:cols>
  <x:sheetData>
    <x:row r="1" ht="34" customHeight="1">
      <x:c r="A1" s="3" t="str">
        <x:v>Editable assumptions</x:v>
      </x:c>
      <x:c r="B1" s="3" t="str">
        <x:v>Editable assumptions</x:v>
      </x:c>
      <x:c r="C1" s="3" t="str">
        <x:v>Editable assumptions</x:v>
      </x:c>
      <x:c r="D1" s="3" t="str">
        <x:v>Editable assumptions</x:v>
      </x:c>
      <x:c r="E1" s="3" t="str">
        <x:v>Editable assumptions</x:v>
      </x:c>
    </x:row>
    <x:row r="2">
      <x:c r="A2" s="7" t="str">
        <x:v>Blue values are inputs. Update them with procurement quotes and pilot telemetry. Price formulas reference these cells instead of embedding magic numbers.</x:v>
      </x:c>
      <x:c r="B2" s="7" t="str">
        <x:v>Blue values are inputs. Update them with procurement quotes and pilot telemetry. Price formulas reference these cells instead of embedding magic numbers.</x:v>
      </x:c>
      <x:c r="C2" s="7" t="str">
        <x:v>Blue values are inputs. Update them with procurement quotes and pilot telemetry. Price formulas reference these cells instead of embedding magic numbers.</x:v>
      </x:c>
      <x:c r="D2" s="7" t="str">
        <x:v>Blue values are inputs. Update them with procurement quotes and pilot telemetry. Price formulas reference these cells instead of embedding magic numbers.</x:v>
      </x:c>
      <x:c r="E2" s="7" t="str">
        <x:v>Blue values are inputs. Update them with procurement quotes and pilot telemetry. Price formulas reference these cells instead of embedding magic numbers.</x:v>
      </x:c>
    </x:row>
    <x:row r="3">
      <x:c r="A3" s="7" t="str">
        <x:v>Blue values are inputs. Update them with procurement quotes and pilot telemetry. Price formulas reference these cells instead of embedding magic numbers.</x:v>
      </x:c>
      <x:c r="B3" s="7" t="str">
        <x:v>Blue values are inputs. Update them with procurement quotes and pilot telemetry. Price formulas reference these cells instead of embedding magic numbers.</x:v>
      </x:c>
      <x:c r="C3" s="7" t="str">
        <x:v>Blue values are inputs. Update them with procurement quotes and pilot telemetry. Price formulas reference these cells instead of embedding magic numbers.</x:v>
      </x:c>
      <x:c r="D3" s="7" t="str">
        <x:v>Blue values are inputs. Update them with procurement quotes and pilot telemetry. Price formulas reference these cells instead of embedding magic numbers.</x:v>
      </x:c>
      <x:c r="E3" s="7" t="str">
        <x:v>Blue values are inputs. Update them with procurement quotes and pilot telemetry. Price formulas reference these cells instead of embedding magic numbers.</x:v>
      </x:c>
    </x:row>
    <x:row r="5">
      <x:c r="A5" s="56" t="str">
        <x:v>Parameter</x:v>
      </x:c>
      <x:c r="B5" s="56" t="str">
        <x:v>Value</x:v>
      </x:c>
      <x:c r="C5" s="56" t="str">
        <x:v>Unit</x:v>
      </x:c>
      <x:c r="D5" s="56" t="str">
        <x:v>Description</x:v>
      </x:c>
      <x:c r="E5" s="56" t="str">
        <x:v>Source / note</x:v>
      </x:c>
    </x:row>
    <x:row r="6" ht="44" customHeight="1">
      <x:c r="A6" s="29" t="str">
        <x:v>Tokens per pricing unit</x:v>
      </x:c>
      <x:c r="B6" s="61" t="n">
        <x:v>1000000</x:v>
      </x:c>
      <x:c r="C6" s="29" t="str">
        <x:v>tokens</x:v>
      </x:c>
      <x:c r="D6" s="29" t="str">
        <x:v>Denominator used by provider price tables.</x:v>
      </x:c>
      <x:c r="E6" s="29" t="str">
        <x:v>Provider prices are per 1M tokens.</x:v>
      </x:c>
    </x:row>
    <x:row r="7" ht="44" customHeight="1">
      <x:c r="A7" s="29" t="str">
        <x:v>Retry and variance contingency</x:v>
      </x:c>
      <x:c r="B7" s="62" t="n">
        <x:v>0.15</x:v>
      </x:c>
      <x:c r="C7" s="29" t="str">
        <x:v>%</x:v>
      </x:c>
      <x:c r="D7" s="29" t="str">
        <x:v>Applied to per-submission LLM cost after the call profile.</x:v>
      </x:c>
      <x:c r="E7" s="29" t="str">
        <x:v>Planning default; replace with p95 telemetry.</x:v>
      </x:c>
    </x:row>
    <x:row r="8" ht="44" customHeight="1">
      <x:c r="A8" s="29" t="str">
        <x:v>Effective OCR cost per page</x:v>
      </x:c>
      <x:c r="B8" s="63" t="n">
        <x:v>0.002</x:v>
      </x:c>
      <x:c r="C8" s="29" t="str">
        <x:v>USD/page</x:v>
      </x:c>
      <x:c r="D8" s="29" t="str">
        <x:v>Blended local/cloud compute planning assumption.</x:v>
      </x:c>
      <x:c r="E8" s="29" t="str">
        <x:v>Not a vendor quote; enter measured effective cost.</x:v>
      </x:c>
    </x:row>
    <x:row r="9" ht="44" customHeight="1">
      <x:c r="A9" s="29" t="str">
        <x:v>Storage cost</x:v>
      </x:c>
      <x:c r="B9" s="63" t="n">
        <x:v>0</x:v>
      </x:c>
      <x:c r="C9" s="29" t="str">
        <x:v>USD/GB-month</x:v>
      </x:c>
      <x:c r="D9" s="29" t="str">
        <x:v>R2 storage cost charged outside the included free allowance.</x:v>
      </x:c>
      <x:c r="E9" s="29" t="str">
        <x:v>MVP default is 0 while usage stays inside the current free quota; replace with measured overage.</x:v>
      </x:c>
    </x:row>
    <x:row r="10" ht="44" customHeight="1">
      <x:c r="A10" s="29" t="str">
        <x:v>Reviewer loaded hourly cost</x:v>
      </x:c>
      <x:c r="B10" s="63" t="n">
        <x:v>35</x:v>
      </x:c>
      <x:c r="C10" s="29" t="str">
        <x:v>USD/hour</x:v>
      </x:c>
      <x:c r="D10" s="29" t="str">
        <x:v>Salary/contractor loaded cost used for total cost of ownership.</x:v>
      </x:c>
      <x:c r="E10" s="29" t="str">
        <x:v>Institutional planning assumption.</x:v>
      </x:c>
    </x:row>
    <x:row r="11" ht="44" customHeight="1">
      <x:c r="A11" s="29" t="str">
        <x:v>Default review minutes per submission</x:v>
      </x:c>
      <x:c r="B11" s="64" t="n">
        <x:v>3</x:v>
      </x:c>
      <x:c r="C11" s="29" t="str">
        <x:v>minutes</x:v>
      </x:c>
      <x:c r="D11" s="29" t="str">
        <x:v>Human review of questions and guide before approval.</x:v>
      </x:c>
      <x:c r="E11" s="29" t="str">
        <x:v>Measure median and p95 in pilot.</x:v>
      </x:c>
    </x:row>
    <x:row r="12" ht="44" customHeight="1">
      <x:c r="A12" s="29" t="str">
        <x:v>Default fixed platform cost per month</x:v>
      </x:c>
      <x:c r="B12" s="65" t="n">
        <x:v>0</x:v>
      </x:c>
      <x:c r="C12" s="29" t="str">
        <x:v>USD/month</x:v>
      </x:c>
      <x:c r="D12" s="29" t="str">
        <x:v>Cloud Run, Supabase and R2 fixed infrastructure inside free quotas.</x:v>
      </x:c>
      <x:c r="E12" s="29" t="str">
        <x:v>Expected MVP baseline near USD 0; Vercel Pro or quota overages are later fixed costs.</x:v>
      </x:c>
    </x:row>
    <x:row r="13" ht="44" customHeight="1">
      <x:c r="A13" s="29" t="str">
        <x:v>Regional processing surcharge</x:v>
      </x:c>
      <x:c r="B13" s="62" t="n">
        <x:v>0</x:v>
      </x:c>
      <x:c r="C13" s="29" t="str">
        <x:v>%</x:v>
      </x:c>
      <x:c r="D13" s="29" t="str">
        <x:v>Set to provider surcharge where applicable.</x:v>
      </x:c>
      <x:c r="E13" s="29" t="str">
        <x:v>OpenAI public pricing notes +10% for regional processing.</x:v>
      </x:c>
    </x:row>
    <x:row r="14" ht="44" customHeight="1">
      <x:c r="A14" s="29" t="str">
        <x:v>Long-context surcharge</x:v>
      </x:c>
      <x:c r="B14" s="62" t="n">
        <x:v>0</x:v>
      </x:c>
      <x:c r="C14" s="29" t="str">
        <x:v>%</x:v>
      </x:c>
      <x:c r="D14" s="29" t="str">
        <x:v>Set when prompts cross provider long-context thresholds.</x:v>
      </x:c>
      <x:c r="E14" s="29" t="str">
        <x:v>Architecture should normally avoid these windows.</x:v>
      </x:c>
    </x:row>
    <x:row r="15" ht="44" customHeight="1">
      <x:c r="A15" s="29" t="str">
        <x:v>Explicit cache storage</x:v>
      </x:c>
      <x:c r="B15" s="65" t="n">
        <x:v>0</x:v>
      </x:c>
      <x:c r="C15" s="29" t="str">
        <x:v>USD/month</x:v>
      </x:c>
      <x:c r="D15" s="29" t="str">
        <x:v>Optional cache storage charge not captured by token read prices.</x:v>
      </x:c>
      <x:c r="E15" s="29" t="str">
        <x:v>Enter only when explicit cache is enabled.</x:v>
      </x:c>
    </x:row>
    <x:row r="16" ht="44" customHeight="1">
      <x:c r="A16" s="32" t="str">
        <x:v>Currency</x:v>
      </x:c>
      <x:c r="B16" s="60" t="str">
        <x:v>USD</x:v>
      </x:c>
      <x:c r="C16" s="32" t="str">
        <x:v>ISO 4217</x:v>
      </x:c>
      <x:c r="D16" s="32" t="str">
        <x:v>Display currency. No FX conversion is included.</x:v>
      </x:c>
      <x:c r="E16" s="32" t="str">
        <x:v>All provider snapshot prices are USD.</x:v>
      </x:c>
    </x:row>
    <x:row r="17" ht="32" customHeight="1">
      <x:c r="A17" s="113" t="str">
        <x:v>Baseline questions per submission</x:v>
      </x:c>
      <x:c r="B17" s="116" t="n">
        <x:v>5</x:v>
      </x:c>
      <x:c r="C17" s="113" t="str">
        <x:v>questions</x:v>
      </x:c>
      <x:c r="D17" s="113" t="str">
        <x:v>Question count represented by the submission token profile.</x:v>
      </x:c>
      <x:c r="E17" s="113" t="str">
        <x:v>Scenario question counts scale submission LLM cost relative to this baseline.</x:v>
      </x:c>
    </x:row>
    <x:row r="18" ht="32" customHeight="1">
      <x:c r="A18" s="113" t="str">
        <x:v>Variable non-model processing cost</x:v>
      </x:c>
      <x:c r="B18" s="117" t="n">
        <x:v>0</x:v>
      </x:c>
      <x:c r="C18" s="113" t="str">
        <x:v>USD/submission</x:v>
      </x:c>
      <x:c r="D18" s="113" t="str">
        <x:v>Cloud Run processing charged outside free quotas, excluding model APIs.</x:v>
      </x:c>
      <x:c r="E18" s="113" t="str">
        <x:v>MVP default is 0 inside free quotas; replace with observed service/job overage.</x:v>
      </x:c>
    </x:row>
  </x:sheetData>
  <x:mergeCells>
    <x:mergeCell ref="A1:E1"/>
    <x:mergeCell ref="A2:E3"/>
  </x:mergeCells>
  <x:pageMargins left="0.7" right="0.7" top="0.75" bottom="0.75" header="0.3" footer="0.3"/>
  <x:legacyDrawing xmlns:r="http://schemas.openxmlformats.org/officeDocument/2006/relationships" r:id="R5c9c040d101e414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  <x:col min="11" max="11" width="52" hidden="0" customWidth="1"/>
    <x:col min="12" max="12" width="46" hidden="0" customWidth="1"/>
  </x:cols>
  <x:sheetData>
    <x:row r="1" ht="34" customHeight="1">
      <x:c r="A1" s="3" t="str">
        <x:v>Model price snapshot (USD per 1M tokens)</x:v>
      </x:c>
      <x:c r="B1" s="3" t="str">
        <x:v>Model price snapshot (USD per 1M tokens)</x:v>
      </x:c>
      <x:c r="C1" s="3" t="str">
        <x:v>Model price snapshot (USD per 1M tokens)</x:v>
      </x:c>
      <x:c r="D1" s="3" t="str">
        <x:v>Model price snapshot (USD per 1M tokens)</x:v>
      </x:c>
      <x:c r="E1" s="3" t="str">
        <x:v>Model price snapshot (USD per 1M tokens)</x:v>
      </x:c>
      <x:c r="F1" s="3" t="str">
        <x:v>Model price snapshot (USD per 1M tokens)</x:v>
      </x:c>
      <x:c r="G1" s="3" t="str">
        <x:v>Model price snapshot (USD per 1M tokens)</x:v>
      </x:c>
      <x:c r="H1" s="3" t="str">
        <x:v>Model price snapshot (USD per 1M tokens)</x:v>
      </x:c>
      <x:c r="I1" s="3" t="str">
        <x:v>Model price snapshot (USD per 1M tokens)</x:v>
      </x:c>
      <x:c r="J1" s="3" t="str">
        <x:v>Model price snapshot (USD per 1M tokens)</x:v>
      </x:c>
      <x:c r="K1" s="3" t="str">
        <x:v>Model price snapshot (USD per 1M tokens)</x:v>
      </x:c>
      <x:c r="L1" s="3" t="str">
        <x:v>Model price snapshot (USD per 1M tokens)</x:v>
      </x:c>
    </x:row>
    <x:row r="2">
      <x:c r="A2" s="7" t="str">
        <x:v>Date-sensitive source data. Cache write semantics differ by provider; the cost profile uses standard input, cache read and output. Batch values represent the published discounted route where available.</x:v>
      </x:c>
      <x:c r="B2" s="7" t="str">
        <x:v>Date-sensitive source data. Cache write semantics differ by provider; the cost profile uses standard input, cache read and output. Batch values represent the published discounted route where available.</x:v>
      </x:c>
      <x:c r="C2" s="7" t="str">
        <x:v>Date-sensitive source data. Cache write semantics differ by provider; the cost profile uses standard input, cache read and output. Batch values represent the published discounted route where available.</x:v>
      </x:c>
      <x:c r="D2" s="7" t="str">
        <x:v>Date-sensitive source data. Cache write semantics differ by provider; the cost profile uses standard input, cache read and output. Batch values represent the published discounted route where available.</x:v>
      </x:c>
      <x:c r="E2" s="7" t="str">
        <x:v>Date-sensitive source data. Cache write semantics differ by provider; the cost profile uses standard input, cache read and output. Batch values represent the published discounted route where available.</x:v>
      </x:c>
      <x:c r="F2" s="7" t="str">
        <x:v>Date-sensitive source data. Cache write semantics differ by provider; the cost profile uses standard input, cache read and output. Batch values represent the published discounted route where available.</x:v>
      </x:c>
      <x:c r="G2" s="7" t="str">
        <x:v>Date-sensitive source data. Cache write semantics differ by provider; the cost profile uses standard input, cache read and output. Batch values represent the published discounted route where available.</x:v>
      </x:c>
      <x:c r="H2" s="7" t="str">
        <x:v>Date-sensitive source data. Cache write semantics differ by provider; the cost profile uses standard input, cache read and output. Batch values represent the published discounted route where available.</x:v>
      </x:c>
      <x:c r="I2" s="7" t="str">
        <x:v>Date-sensitive source data. Cache write semantics differ by provider; the cost profile uses standard input, cache read and output. Batch values represent the published discounted route where available.</x:v>
      </x:c>
      <x:c r="J2" s="7" t="str">
        <x:v>Date-sensitive source data. Cache write semantics differ by provider; the cost profile uses standard input, cache read and output. Batch values represent the published discounted route where available.</x:v>
      </x:c>
      <x:c r="K2" s="7" t="str">
        <x:v>Date-sensitive source data. Cache write semantics differ by provider; the cost profile uses standard input, cache read and output. Batch values represent the published discounted route where available.</x:v>
      </x:c>
      <x:c r="L2" s="7" t="str">
        <x:v>Date-sensitive source data. Cache write semantics differ by provider; the cost profile uses standard input, cache read and output. Batch values represent the published discounted route where available.</x:v>
      </x:c>
    </x:row>
    <x:row r="3">
      <x:c r="A3" s="7" t="str">
        <x:v>Date-sensitive source data. Cache write semantics differ by provider; the cost profile uses standard input, cache read and output. Batch values represent the published discounted route where available.</x:v>
      </x:c>
      <x:c r="B3" s="7" t="str">
        <x:v>Date-sensitive source data. Cache write semantics differ by provider; the cost profile uses standard input, cache read and output. Batch values represent the published discounted route where available.</x:v>
      </x:c>
      <x:c r="C3" s="7" t="str">
        <x:v>Date-sensitive source data. Cache write semantics differ by provider; the cost profile uses standard input, cache read and output. Batch values represent the published discounted route where available.</x:v>
      </x:c>
      <x:c r="D3" s="7" t="str">
        <x:v>Date-sensitive source data. Cache write semantics differ by provider; the cost profile uses standard input, cache read and output. Batch values represent the published discounted route where available.</x:v>
      </x:c>
      <x:c r="E3" s="7" t="str">
        <x:v>Date-sensitive source data. Cache write semantics differ by provider; the cost profile uses standard input, cache read and output. Batch values represent the published discounted route where available.</x:v>
      </x:c>
      <x:c r="F3" s="7" t="str">
        <x:v>Date-sensitive source data. Cache write semantics differ by provider; the cost profile uses standard input, cache read and output. Batch values represent the published discounted route where available.</x:v>
      </x:c>
      <x:c r="G3" s="7" t="str">
        <x:v>Date-sensitive source data. Cache write semantics differ by provider; the cost profile uses standard input, cache read and output. Batch values represent the published discounted route where available.</x:v>
      </x:c>
      <x:c r="H3" s="7" t="str">
        <x:v>Date-sensitive source data. Cache write semantics differ by provider; the cost profile uses standard input, cache read and output. Batch values represent the published discounted route where available.</x:v>
      </x:c>
      <x:c r="I3" s="7" t="str">
        <x:v>Date-sensitive source data. Cache write semantics differ by provider; the cost profile uses standard input, cache read and output. Batch values represent the published discounted route where available.</x:v>
      </x:c>
      <x:c r="J3" s="7" t="str">
        <x:v>Date-sensitive source data. Cache write semantics differ by provider; the cost profile uses standard input, cache read and output. Batch values represent the published discounted route where available.</x:v>
      </x:c>
      <x:c r="K3" s="7" t="str">
        <x:v>Date-sensitive source data. Cache write semantics differ by provider; the cost profile uses standard input, cache read and output. Batch values represent the published discounted route where available.</x:v>
      </x:c>
      <x:c r="L3" s="7" t="str">
        <x:v>Date-sensitive source data. Cache write semantics differ by provider; the cost profile uses standard input, cache read and output. Batch values represent the published discounted route where available.</x:v>
      </x:c>
    </x:row>
    <x:row r="5">
      <x:c r="A5" s="56" t="str">
        <x:v>Model</x:v>
      </x:c>
      <x:c r="B5" s="56" t="str">
        <x:v>Provider</x:v>
      </x:c>
      <x:c r="C5" s="56" t="str">
        <x:v>Std input</x:v>
      </x:c>
      <x:c r="D5" s="56" t="str">
        <x:v>Cache read</x:v>
      </x:c>
      <x:c r="E5" s="56" t="str">
        <x:v>Cache write</x:v>
      </x:c>
      <x:c r="F5" s="56" t="str">
        <x:v>Std output</x:v>
      </x:c>
      <x:c r="G5" s="56" t="str">
        <x:v>Batch input</x:v>
      </x:c>
      <x:c r="H5" s="56" t="str">
        <x:v>Batch cache</x:v>
      </x:c>
      <x:c r="I5" s="56" t="str">
        <x:v>Batch output</x:v>
      </x:c>
      <x:c r="J5" s="56" t="str">
        <x:v>Valid / observed</x:v>
      </x:c>
      <x:c r="K5" s="56" t="str">
        <x:v>Important note</x:v>
      </x:c>
      <x:c r="L5" s="56" t="str">
        <x:v>Source URL</x:v>
      </x:c>
    </x:row>
    <x:row r="6" ht="58" customHeight="1">
      <x:c r="A6" s="72" t="str">
        <x:v>GPT-5.6 Luna</x:v>
      </x:c>
      <x:c r="B6" s="29" t="str">
        <x:v>OpenAI</x:v>
      </x:c>
      <x:c r="C6" s="70" t="n">
        <x:v>0.2</x:v>
      </x:c>
      <x:c r="D6" s="70" t="n">
        <x:v>0.02</x:v>
      </x:c>
      <x:c r="E6" s="70" t="n">
        <x:v>0.25</x:v>
      </x:c>
      <x:c r="F6" s="70" t="n">
        <x:v>1.2</x:v>
      </x:c>
      <x:c r="G6" s="70" t="n">
        <x:v>0.1</x:v>
      </x:c>
      <x:c r="H6" s="70" t="n">
        <x:v>0.01</x:v>
      </x:c>
      <x:c r="I6" s="70" t="n">
        <x:v>0.6</x:v>
      </x:c>
      <x:c r="J6" s="29" t="str">
        <x:v>2026-08-08</x:v>
      </x:c>
      <x:c r="K6" s="29" t="str">
        <x:v>Active LUNA_BASELINE_V1 price: Standard short-context 0.20/0.02/0.25/1.20. Batch reference 0.10/0.01/0.60; active calls use service_tier=default and 0% Batch.</x:v>
      </x:c>
      <x:c r="L6" s="29" t="str">
        <x:v>https://developers.openai.com/api/docs/pricing</x:v>
      </x:c>
    </x:row>
    <x:row r="7" ht="58" customHeight="1">
      <x:c r="A7" s="72" t="str">
        <x:v>GPT-5.6 Terra</x:v>
      </x:c>
      <x:c r="B7" s="29" t="str">
        <x:v>OpenAI</x:v>
      </x:c>
      <x:c r="C7" s="70" t="n">
        <x:v>2.5</x:v>
      </x:c>
      <x:c r="D7" s="70" t="n">
        <x:v>0.25</x:v>
      </x:c>
      <x:c r="E7" s="70" t="n">
        <x:v>3.125</x:v>
      </x:c>
      <x:c r="F7" s="70" t="n">
        <x:v>15</x:v>
      </x:c>
      <x:c r="G7" s="70" t="n">
        <x:v>1.25</x:v>
      </x:c>
      <x:c r="H7" s="70" t="n">
        <x:v>0.125</x:v>
      </x:c>
      <x:c r="I7" s="70" t="n">
        <x:v>7.5</x:v>
      </x:c>
      <x:c r="J7" s="29" t="str">
        <x:v>2026-07-17</x:v>
      </x:c>
      <x:c r="K7" s="29" t="str">
        <x:v>Historical price reference only. Terra is not callable in the OpenAI real-provider gate.</x:v>
      </x:c>
      <x:c r="L7" s="29" t="str">
        <x:v>https://developers.openai.com/api/docs/pricing</x:v>
      </x:c>
    </x:row>
    <x:row r="8" ht="58" customHeight="1">
      <x:c r="A8" s="72" t="str">
        <x:v>GPT-5.6 Sol</x:v>
      </x:c>
      <x:c r="B8" s="29" t="str">
        <x:v>OpenAI</x:v>
      </x:c>
      <x:c r="C8" s="70" t="n">
        <x:v>5</x:v>
      </x:c>
      <x:c r="D8" s="70" t="n">
        <x:v>0.5</x:v>
      </x:c>
      <x:c r="E8" s="70" t="n">
        <x:v>6.25</x:v>
      </x:c>
      <x:c r="F8" s="70" t="n">
        <x:v>30</x:v>
      </x:c>
      <x:c r="G8" s="70" t="n">
        <x:v>2.5</x:v>
      </x:c>
      <x:c r="H8" s="70" t="n">
        <x:v>0.25</x:v>
      </x:c>
      <x:c r="I8" s="70" t="n">
        <x:v>15</x:v>
      </x:c>
      <x:c r="J8" s="29" t="str">
        <x:v>2026-08-08</x:v>
      </x:c>
      <x:c r="K8" s="29" t="str">
        <x:v>Historical comparison candidate only. Sol has no active, fallback or automatically callable route in LUNA_BASELINE_V1.</x:v>
      </x:c>
      <x:c r="L8" s="29" t="str">
        <x:v>https://developers.openai.com/api/docs/pricing</x:v>
      </x:c>
    </x:row>
    <x:row r="9" ht="58" customHeight="1">
      <x:c r="A9" s="72" t="str">
        <x:v>Gemini 3.5 Flash (legacy snapshot)</x:v>
      </x:c>
      <x:c r="B9" s="29" t="str">
        <x:v>Google</x:v>
      </x:c>
      <x:c r="C9" s="70" t="n">
        <x:v>1.5</x:v>
      </x:c>
      <x:c r="D9" s="70" t="n">
        <x:v>0.15</x:v>
      </x:c>
      <x:c r="E9" s="70" t="n">
        <x:v>1.5</x:v>
      </x:c>
      <x:c r="F9" s="70" t="n">
        <x:v>9</x:v>
      </x:c>
      <x:c r="G9" s="70" t="n">
        <x:v>0.75</x:v>
      </x:c>
      <x:c r="H9" s="70" t="n">
        <x:v>0.075</x:v>
      </x:c>
      <x:c r="I9" s="70" t="n">
        <x:v>4.5</x:v>
      </x:c>
      <x:c r="J9" s="29" t="str">
        <x:v>2026-07-17</x:v>
      </x:c>
      <x:c r="K9" s="29" t="str">
        <x:v>Historical comparison only; this provider/model has no callable route or authorization in the OpenAI gate.</x:v>
      </x:c>
      <x:c r="L9" s="29" t="str">
        <x:v>https://ai.google.dev/gemini-api/docs/pricing</x:v>
      </x:c>
    </x:row>
    <x:row r="10" ht="58" customHeight="1">
      <x:c r="A10" s="72" t="str">
        <x:v>Gemini 3.1 Flash-Lite</x:v>
      </x:c>
      <x:c r="B10" s="29" t="str">
        <x:v>Google</x:v>
      </x:c>
      <x:c r="C10" s="70" t="n">
        <x:v>0.25</x:v>
      </x:c>
      <x:c r="D10" s="70" t="n">
        <x:v>0.025</x:v>
      </x:c>
      <x:c r="E10" s="70" t="n">
        <x:v>0.25</x:v>
      </x:c>
      <x:c r="F10" s="70" t="n">
        <x:v>1.5</x:v>
      </x:c>
      <x:c r="G10" s="70" t="n">
        <x:v>0.125</x:v>
      </x:c>
      <x:c r="H10" s="70" t="n">
        <x:v>0.0125</x:v>
      </x:c>
      <x:c r="I10" s="70" t="n">
        <x:v>0.75</x:v>
      </x:c>
      <x:c r="J10" s="29" t="str">
        <x:v>2026-07-17</x:v>
      </x:c>
      <x:c r="K10" s="29" t="str">
        <x:v>Historical comparison only; this provider/model has no callable route or authorization in the OpenAI gate.</x:v>
      </x:c>
      <x:c r="L10" s="29" t="str">
        <x:v>https://ai.google.dev/gemini-api/docs/pricing</x:v>
      </x:c>
    </x:row>
    <x:row r="11" ht="58" customHeight="1">
      <x:c r="A11" s="72" t="str">
        <x:v>Gemini 3.1 Pro Preview &lt;=200K</x:v>
      </x:c>
      <x:c r="B11" s="29" t="str">
        <x:v>Google</x:v>
      </x:c>
      <x:c r="C11" s="70" t="n">
        <x:v>2</x:v>
      </x:c>
      <x:c r="D11" s="70" t="n">
        <x:v>0.2</x:v>
      </x:c>
      <x:c r="E11" s="70" t="n">
        <x:v>2</x:v>
      </x:c>
      <x:c r="F11" s="70" t="n">
        <x:v>12</x:v>
      </x:c>
      <x:c r="G11" s="70" t="n">
        <x:v>1</x:v>
      </x:c>
      <x:c r="H11" s="70" t="n">
        <x:v>0.2</x:v>
      </x:c>
      <x:c r="I11" s="70" t="n">
        <x:v>6</x:v>
      </x:c>
      <x:c r="J11" s="29" t="str">
        <x:v>2026-07-17</x:v>
      </x:c>
      <x:c r="K11" s="29" t="str">
        <x:v>Historical comparison only; this provider/model has no callable route or authorization in the OpenAI gate.</x:v>
      </x:c>
      <x:c r="L11" s="29" t="str">
        <x:v>https://ai.google.dev/gemini-api/docs/pricing</x:v>
      </x:c>
    </x:row>
    <x:row r="12" ht="58" customHeight="1">
      <x:c r="A12" s="72" t="str">
        <x:v>Claude Fable 5</x:v>
      </x:c>
      <x:c r="B12" s="29" t="str">
        <x:v>Anthropic</x:v>
      </x:c>
      <x:c r="C12" s="70" t="n">
        <x:v>10</x:v>
      </x:c>
      <x:c r="D12" s="70" t="n">
        <x:v>1</x:v>
      </x:c>
      <x:c r="E12" s="70" t="n">
        <x:v>12.5</x:v>
      </x:c>
      <x:c r="F12" s="70" t="n">
        <x:v>50</x:v>
      </x:c>
      <x:c r="G12" s="70" t="n">
        <x:v>5</x:v>
      </x:c>
      <x:c r="H12" s="70" t="n">
        <x:v>0.5</x:v>
      </x:c>
      <x:c r="I12" s="70" t="n">
        <x:v>25</x:v>
      </x:c>
      <x:c r="J12" s="29" t="str">
        <x:v>2026-07-17</x:v>
      </x:c>
      <x:c r="K12" s="29" t="str">
        <x:v>Historical comparison only; this provider/model has no callable route or authorization in the OpenAI gate.</x:v>
      </x:c>
      <x:c r="L12" s="29" t="str">
        <x:v>https://platform.claude.com/docs/en/about-claude/pricing</x:v>
      </x:c>
    </x:row>
    <x:row r="13" ht="58" customHeight="1">
      <x:c r="A13" s="72" t="str">
        <x:v>Claude Opus 4.8</x:v>
      </x:c>
      <x:c r="B13" s="29" t="str">
        <x:v>Anthropic</x:v>
      </x:c>
      <x:c r="C13" s="70" t="n">
        <x:v>5</x:v>
      </x:c>
      <x:c r="D13" s="70" t="n">
        <x:v>0.5</x:v>
      </x:c>
      <x:c r="E13" s="70" t="n">
        <x:v>6.25</x:v>
      </x:c>
      <x:c r="F13" s="70" t="n">
        <x:v>25</x:v>
      </x:c>
      <x:c r="G13" s="70" t="n">
        <x:v>2.5</x:v>
      </x:c>
      <x:c r="H13" s="70" t="n">
        <x:v>0.25</x:v>
      </x:c>
      <x:c r="I13" s="70" t="n">
        <x:v>12.5</x:v>
      </x:c>
      <x:c r="J13" s="29" t="str">
        <x:v>2026-07-17</x:v>
      </x:c>
      <x:c r="K13" s="29" t="str">
        <x:v>Historical comparison only; this provider/model has no callable route or authorization in the OpenAI gate.</x:v>
      </x:c>
      <x:c r="L13" s="29" t="str">
        <x:v>https://platform.claude.com/docs/en/about-claude/pricing</x:v>
      </x:c>
    </x:row>
    <x:row r="14" ht="58" customHeight="1">
      <x:c r="A14" s="72" t="str">
        <x:v>Claude Sonnet 5 intro</x:v>
      </x:c>
      <x:c r="B14" s="29" t="str">
        <x:v>Anthropic</x:v>
      </x:c>
      <x:c r="C14" s="70" t="n">
        <x:v>2</x:v>
      </x:c>
      <x:c r="D14" s="70" t="n">
        <x:v>0.2</x:v>
      </x:c>
      <x:c r="E14" s="70" t="n">
        <x:v>2.5</x:v>
      </x:c>
      <x:c r="F14" s="70" t="n">
        <x:v>10</x:v>
      </x:c>
      <x:c r="G14" s="70" t="n">
        <x:v>1</x:v>
      </x:c>
      <x:c r="H14" s="70" t="n">
        <x:v>0.1</x:v>
      </x:c>
      <x:c r="I14" s="70" t="n">
        <x:v>5</x:v>
      </x:c>
      <x:c r="J14" s="29" t="str">
        <x:v>Through 2026-08-31</x:v>
      </x:c>
      <x:c r="K14" s="29" t="str">
        <x:v>Historical comparison only; this provider/model has no callable route or authorization in the OpenAI gate.</x:v>
      </x:c>
      <x:c r="L14" s="29" t="str">
        <x:v>https://platform.claude.com/docs/en/about-claude/pricing</x:v>
      </x:c>
    </x:row>
    <x:row r="15" ht="58" customHeight="1">
      <x:c r="A15" s="73" t="str">
        <x:v>Claude Haiku 4.5</x:v>
      </x:c>
      <x:c r="B15" s="32" t="str">
        <x:v>Anthropic</x:v>
      </x:c>
      <x:c r="C15" s="71" t="n">
        <x:v>1</x:v>
      </x:c>
      <x:c r="D15" s="71" t="n">
        <x:v>0.1</x:v>
      </x:c>
      <x:c r="E15" s="71" t="n">
        <x:v>1.25</x:v>
      </x:c>
      <x:c r="F15" s="71" t="n">
        <x:v>5</x:v>
      </x:c>
      <x:c r="G15" s="71" t="n">
        <x:v>0.5</x:v>
      </x:c>
      <x:c r="H15" s="71" t="n">
        <x:v>0.05</x:v>
      </x:c>
      <x:c r="I15" s="71" t="n">
        <x:v>2.5</x:v>
      </x:c>
      <x:c r="J15" s="32" t="str">
        <x:v>2026-07-17</x:v>
      </x:c>
      <x:c r="K15" s="32" t="str">
        <x:v>Historical comparison only; this provider/model has no callable route or authorization in the OpenAI gate.</x:v>
      </x:c>
      <x:c r="L15" s="32" t="str">
        <x:v>https://platform.claude.com/docs/en/about-claude/pricing</x:v>
      </x:c>
    </x:row>
    <x:row r="16" ht="48" customHeight="1">
      <x:c r="A16" s="244" t="str">
        <x:v>Gemini 3.6 Flash (price not captured)</x:v>
      </x:c>
      <x:c r="B16" s="241" t="str">
        <x:v>Google</x:v>
      </x:c>
      <x:c r="C16" s="253"/>
      <x:c r="D16" s="253"/>
      <x:c r="E16" s="253"/>
      <x:c r="F16" s="253"/>
      <x:c r="G16" s="253"/>
      <x:c r="H16" s="253"/>
      <x:c r="I16" s="253"/>
      <x:c r="J16" s="241" t="str">
        <x:v>Add before paid bake-off</x:v>
      </x:c>
      <x:c r="K16" s="241" t="str">
        <x:v>Historical comparison only; this provider/model has no callable route or authorization in the OpenAI gate.</x:v>
      </x:c>
      <x:c r="L16" s="241" t="str">
        <x:v>https://ai.google.dev/gemini-api/docs/pricing</x:v>
      </x:c>
    </x:row>
  </x:sheetData>
  <x:mergeCells>
    <x:mergeCell ref="A1:L1"/>
    <x:mergeCell ref="A2:L3"/>
  </x:mergeCells>
  <x:conditionalFormatting sqref="A6:L15">
    <x:cfRule type="expression" dxfId="0" priority="1">
      <x:formula>$B6="OpenAI"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4" hidden="0" customWidth="1"/>
    <x:col min="3" max="3" width="24" hidden="0" customWidth="1"/>
    <x:col min="4" max="4" width="11" hidden="0" customWidth="1"/>
    <x:col min="5" max="5" width="13" hidden="0" customWidth="1"/>
    <x:col min="6" max="6" width="13" hidden="0" customWidth="1"/>
    <x:col min="7" max="7" width="13" hidden="0" customWidth="1"/>
    <x:col min="8" max="8" width="12" hidden="0" customWidth="1"/>
    <x:col min="9" max="9" width="1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3" hidden="0" customWidth="1"/>
    <x:col min="17" max="17" width="13" hidden="0" customWidth="1"/>
    <x:col min="18" max="18" width="46" hidden="0" customWidth="1"/>
  </x:cols>
  <x:sheetData>
    <x:row r="1" ht="34" customHeight="1">
      <x:c r="A1" s="3" t="str">
        <x:v>Editable LLM call profile</x:v>
      </x:c>
      <x:c r="B1" s="3" t="str">
        <x:v>Editable LLM call profile</x:v>
      </x:c>
      <x:c r="C1" s="3" t="str">
        <x:v>Editable LLM call profile</x:v>
      </x:c>
      <x:c r="D1" s="3" t="str">
        <x:v>Editable LLM call profile</x:v>
      </x:c>
      <x:c r="E1" s="3" t="str">
        <x:v>Editable LLM call profile</x:v>
      </x:c>
      <x:c r="F1" s="3" t="str">
        <x:v>Editable LLM call profile</x:v>
      </x:c>
      <x:c r="G1" s="3" t="str">
        <x:v>Editable LLM call profile</x:v>
      </x:c>
      <x:c r="H1" s="3" t="str">
        <x:v>Editable LLM call profile</x:v>
      </x:c>
      <x:c r="I1" s="3" t="str">
        <x:v>Editable LLM call profile</x:v>
      </x:c>
      <x:c r="J1" s="3" t="str">
        <x:v>Editable LLM call profile</x:v>
      </x:c>
      <x:c r="K1" s="3" t="str">
        <x:v>Editable LLM call profile</x:v>
      </x:c>
      <x:c r="L1" s="3" t="str">
        <x:v>Editable LLM call profile</x:v>
      </x:c>
      <x:c r="M1" s="3" t="str">
        <x:v>Editable LLM call profile</x:v>
      </x:c>
      <x:c r="N1" s="3" t="str">
        <x:v>Editable LLM call profile</x:v>
      </x:c>
      <x:c r="O1" s="3" t="str">
        <x:v>Editable LLM call profile</x:v>
      </x:c>
      <x:c r="P1" s="3" t="str">
        <x:v>Editable LLM call profile</x:v>
      </x:c>
      <x:c r="Q1" s="3" t="str">
        <x:v>Editable LLM call profile</x:v>
      </x:c>
      <x:c r="R1" s="3" t="str">
        <x:v>Editable LLM call profile</x:v>
      </x:c>
    </x:row>
    <x:row r="2">
      <x:c r="A2" s="7" t="str">
        <x:v>LUNA_BASELINE_V1 uses only GPT-5.6 Luna for P01-P09/P11. P10 has zero frequency/no callable route; the mixed Sol/Luna matrix is historical and never a fallback.</x:v>
      </x:c>
      <x:c r="B2" s="7" t="str">
        <x:v>Each row represents a pipeline task. Frequency multiplier models routing/escalation; batch share blends standard and batch prices. Price columns and costs are formulas.</x:v>
      </x:c>
      <x:c r="C2" s="7" t="str">
        <x:v>Each row represents a pipeline task. Frequency multiplier models routing/escalation; batch share blends standard and batch prices. Price columns and costs are formulas.</x:v>
      </x:c>
      <x:c r="D2" s="7" t="str">
        <x:v>Each row represents a pipeline task. Frequency multiplier models routing/escalation; batch share blends standard and batch prices. Price columns and costs are formulas.</x:v>
      </x:c>
      <x:c r="E2" s="7" t="str">
        <x:v>Each row represents a pipeline task. Frequency multiplier models routing/escalation; batch share blends standard and batch prices. Price columns and costs are formulas.</x:v>
      </x:c>
      <x:c r="F2" s="7" t="str">
        <x:v>Each row represents a pipeline task. Frequency multiplier models routing/escalation; batch share blends standard and batch prices. Price columns and costs are formulas.</x:v>
      </x:c>
      <x:c r="G2" s="7" t="str">
        <x:v>Each row represents a pipeline task. Frequency multiplier models routing/escalation; batch share blends standard and batch prices. Price columns and costs are formulas.</x:v>
      </x:c>
      <x:c r="H2" s="7" t="str">
        <x:v>Each row represents a pipeline task. Frequency multiplier models routing/escalation; batch share blends standard and batch prices. Price columns and costs are formulas.</x:v>
      </x:c>
      <x:c r="I2" s="7" t="str">
        <x:v>Each row represents a pipeline task. Frequency multiplier models routing/escalation; batch share blends standard and batch prices. Price columns and costs are formulas.</x:v>
      </x:c>
      <x:c r="J2" s="7" t="str">
        <x:v>Each row represents a pipeline task. Frequency multiplier models routing/escalation; batch share blends standard and batch prices. Price columns and costs are formulas.</x:v>
      </x:c>
      <x:c r="K2" s="7" t="str">
        <x:v>Each row represents a pipeline task. Frequency multiplier models routing/escalation; batch share blends standard and batch prices. Price columns and costs are formulas.</x:v>
      </x:c>
      <x:c r="L2" s="7" t="str">
        <x:v>Each row represents a pipeline task. Frequency multiplier models routing/escalation; batch share blends standard and batch prices. Price columns and costs are formulas.</x:v>
      </x:c>
      <x:c r="M2" s="7" t="str">
        <x:v>Each row represents a pipeline task. Frequency multiplier models routing/escalation; batch share blends standard and batch prices. Price columns and costs are formulas.</x:v>
      </x:c>
      <x:c r="N2" s="7" t="str">
        <x:v>Each row represents a pipeline task. Frequency multiplier models routing/escalation; batch share blends standard and batch prices. Price columns and costs are formulas.</x:v>
      </x:c>
      <x:c r="O2" s="7" t="str">
        <x:v>Each row represents a pipeline task. Frequency multiplier models routing/escalation; batch share blends standard and batch prices. Price columns and costs are formulas.</x:v>
      </x:c>
      <x:c r="P2" s="7" t="str">
        <x:v>Each row represents a pipeline task. Frequency multiplier models routing/escalation; batch share blends standard and batch prices. Price columns and costs are formulas.</x:v>
      </x:c>
      <x:c r="Q2" s="7" t="str">
        <x:v>Each row represents a pipeline task. Frequency multiplier models routing/escalation; batch share blends standard and batch prices. Price columns and costs are formulas.</x:v>
      </x:c>
      <x:c r="R2" s="7" t="str">
        <x:v>Each row represents a pipeline task. Frequency multiplier models routing/escalation; batch share blends standard and batch prices. Price columns and costs are formulas.</x:v>
      </x:c>
    </x:row>
    <x:row r="3">
      <x:c r="A3" s="7" t="str">
        <x:v>Each row represents a pipeline task. Frequency multiplier models routing/escalation; batch share blends standard and batch prices. Price columns and costs are formulas.</x:v>
      </x:c>
      <x:c r="B3" s="7" t="str">
        <x:v>Each row represents a pipeline task. Frequency multiplier models routing/escalation; batch share blends standard and batch prices. Price columns and costs are formulas.</x:v>
      </x:c>
      <x:c r="C3" s="7" t="str">
        <x:v>Each row represents a pipeline task. Frequency multiplier models routing/escalation; batch share blends standard and batch prices. Price columns and costs are formulas.</x:v>
      </x:c>
      <x:c r="D3" s="7" t="str">
        <x:v>Each row represents a pipeline task. Frequency multiplier models routing/escalation; batch share blends standard and batch prices. Price columns and costs are formulas.</x:v>
      </x:c>
      <x:c r="E3" s="7" t="str">
        <x:v>Each row represents a pipeline task. Frequency multiplier models routing/escalation; batch share blends standard and batch prices. Price columns and costs are formulas.</x:v>
      </x:c>
      <x:c r="F3" s="7" t="str">
        <x:v>Each row represents a pipeline task. Frequency multiplier models routing/escalation; batch share blends standard and batch prices. Price columns and costs are formulas.</x:v>
      </x:c>
      <x:c r="G3" s="7" t="str">
        <x:v>Each row represents a pipeline task. Frequency multiplier models routing/escalation; batch share blends standard and batch prices. Price columns and costs are formulas.</x:v>
      </x:c>
      <x:c r="H3" s="7" t="str">
        <x:v>Each row represents a pipeline task. Frequency multiplier models routing/escalation; batch share blends standard and batch prices. Price columns and costs are formulas.</x:v>
      </x:c>
      <x:c r="I3" s="7" t="str">
        <x:v>Each row represents a pipeline task. Frequency multiplier models routing/escalation; batch share blends standard and batch prices. Price columns and costs are formulas.</x:v>
      </x:c>
      <x:c r="J3" s="7" t="str">
        <x:v>Each row represents a pipeline task. Frequency multiplier models routing/escalation; batch share blends standard and batch prices. Price columns and costs are formulas.</x:v>
      </x:c>
      <x:c r="K3" s="7" t="str">
        <x:v>Each row represents a pipeline task. Frequency multiplier models routing/escalation; batch share blends standard and batch prices. Price columns and costs are formulas.</x:v>
      </x:c>
      <x:c r="L3" s="7" t="str">
        <x:v>Each row represents a pipeline task. Frequency multiplier models routing/escalation; batch share blends standard and batch prices. Price columns and costs are formulas.</x:v>
      </x:c>
      <x:c r="M3" s="7" t="str">
        <x:v>Each row represents a pipeline task. Frequency multiplier models routing/escalation; batch share blends standard and batch prices. Price columns and costs are formulas.</x:v>
      </x:c>
      <x:c r="N3" s="7" t="str">
        <x:v>Each row represents a pipeline task. Frequency multiplier models routing/escalation; batch share blends standard and batch prices. Price columns and costs are formulas.</x:v>
      </x:c>
      <x:c r="O3" s="7" t="str">
        <x:v>Each row represents a pipeline task. Frequency multiplier models routing/escalation; batch share blends standard and batch prices. Price columns and costs are formulas.</x:v>
      </x:c>
      <x:c r="P3" s="7" t="str">
        <x:v>Each row represents a pipeline task. Frequency multiplier models routing/escalation; batch share blends standard and batch prices. Price columns and costs are formulas.</x:v>
      </x:c>
      <x:c r="Q3" s="7" t="str">
        <x:v>Each row represents a pipeline task. Frequency multiplier models routing/escalation; batch share blends standard and batch prices. Price columns and costs are formulas.</x:v>
      </x:c>
      <x:c r="R3" s="7" t="str">
        <x:v>Each row represents a pipeline task. Frequency multiplier models routing/escalation; batch share blends standard and batch prices. Price columns and costs are formulas.</x:v>
      </x:c>
    </x:row>
    <x:row r="5">
      <x:c r="A5" s="56" t="str">
        <x:v>Task</x:v>
      </x:c>
      <x:c r="B5" s="56" t="str">
        <x:v>Basis</x:v>
      </x:c>
      <x:c r="C5" s="56" t="str">
        <x:v>Model</x:v>
      </x:c>
      <x:c r="D5" s="56" t="str">
        <x:v>Exec/basis</x:v>
      </x:c>
      <x:c r="E5" s="56" t="str">
        <x:v>Input tokens</x:v>
      </x:c>
      <x:c r="F5" s="56" t="str">
        <x:v>Cached input</x:v>
      </x:c>
      <x:c r="G5" s="56" t="str">
        <x:v>Output tokens</x:v>
      </x:c>
      <x:c r="H5" s="56" t="str">
        <x:v>Batch share</x:v>
      </x:c>
      <x:c r="I5" s="56" t="str">
        <x:v>Frequency multiplier</x:v>
      </x:c>
      <x:c r="J5" s="56" t="str">
        <x:v>Std input $</x:v>
      </x:c>
      <x:c r="K5" s="56" t="str">
        <x:v>Cache $</x:v>
      </x:c>
      <x:c r="L5" s="56" t="str">
        <x:v>Std output $</x:v>
      </x:c>
      <x:c r="M5" s="56" t="str">
        <x:v>Batch input $</x:v>
      </x:c>
      <x:c r="N5" s="56" t="str">
        <x:v>Batch cache $</x:v>
      </x:c>
      <x:c r="O5" s="56" t="str">
        <x:v>Batch output $</x:v>
      </x:c>
      <x:c r="P5" s="56" t="str">
        <x:v>Cost/exec</x:v>
      </x:c>
      <x:c r="Q5" s="56" t="str">
        <x:v>Cost/basis</x:v>
      </x:c>
      <x:c r="R5" s="56" t="str">
        <x:v>Notes</x:v>
      </x:c>
    </x:row>
    <x:row r="6" ht="48" customHeight="1">
      <x:c r="A6" s="29" t="str">
        <x:v>P01 Activity specification</x:v>
      </x:c>
      <x:c r="B6" s="29" t="str">
        <x:v>ACTIVITY</x:v>
      </x:c>
      <x:c r="C6" s="74" t="str">
        <x:v>GPT-5.6 Luna</x:v>
      </x:c>
      <x:c r="D6" s="80" t="n">
        <x:v>1</x:v>
      </x:c>
      <x:c r="E6" s="80" t="n">
        <x:v>12000</x:v>
      </x:c>
      <x:c r="F6" s="82" t="n">
        <x:v>0.2</x:v>
      </x:c>
      <x:c r="G6" s="80" t="n">
        <x:v>3000</x:v>
      </x:c>
      <x:c r="H6" s="82" t="n">
        <x:v>0</x:v>
      </x:c>
      <x:c r="I6" s="82" t="n">
        <x:v>1</x:v>
      </x:c>
      <x:c r="J6" s="84" t="n">
        <x:f>VLOOKUP(C6,'Model Prices'!$A$6:$I$15,3,FALSE)</x:f>
        <x:v>0.2</x:v>
      </x:c>
      <x:c r="K6" s="84" t="n">
        <x:f>VLOOKUP(C6,'Model Prices'!$A$6:$I$15,4,FALSE)</x:f>
        <x:v>0.02</x:v>
      </x:c>
      <x:c r="L6" s="84" t="n">
        <x:f>VLOOKUP(C6,'Model Prices'!$A$6:$I$15,6,FALSE)</x:f>
        <x:v>1.2</x:v>
      </x:c>
      <x:c r="M6" s="84" t="n">
        <x:f>VLOOKUP(C6,'Model Prices'!$A$6:$I$15,7,FALSE)</x:f>
        <x:v>0.1</x:v>
      </x:c>
      <x:c r="N6" s="84" t="n">
        <x:f>VLOOKUP(C6,'Model Prices'!$A$6:$I$15,8,FALSE)</x:f>
        <x:v>0.01</x:v>
      </x:c>
      <x:c r="O6" s="84" t="n">
        <x:f>VLOOKUP(C6,'Model Prices'!$A$6:$I$15,9,FALSE)</x:f>
        <x:v>0.6</x:v>
      </x:c>
      <x:c r="P6" s="84" t="n">
        <x:f>(E6*(1-F6)/'Assumptions'!$B$6)*(J6*(1-H6)+M6*H6)+(E6*F6/'Assumptions'!$B$6)*(K6*(1-H6)+N6*H6)+(G6/'Assumptions'!$B$6)*(L6*(1-H6)+O6*H6)</x:f>
        <x:v>0.005568</x:v>
      </x:c>
      <x:c r="Q6" s="84" t="n">
        <x:f>D6*I6*P6*(1+'Assumptions'!$B$13)*(1+'Assumptions'!$B$14)</x:f>
        <x:v>0.005568</x:v>
      </x:c>
      <x:c r="R6" s="29" t="str">
        <x:v>Luna medium; one-time per approved activity.</x:v>
      </x:c>
    </x:row>
    <x:row r="7" ht="48" customHeight="1">
      <x:c r="A7" s="29" t="str">
        <x:v>P02 Rubric normalization</x:v>
      </x:c>
      <x:c r="B7" s="29" t="str">
        <x:v>ACTIVITY</x:v>
      </x:c>
      <x:c r="C7" s="74" t="str">
        <x:v>GPT-5.6 Luna</x:v>
      </x:c>
      <x:c r="D7" s="80" t="n">
        <x:v>1</x:v>
      </x:c>
      <x:c r="E7" s="80" t="n">
        <x:v>8000</x:v>
      </x:c>
      <x:c r="F7" s="82" t="n">
        <x:v>0.3</x:v>
      </x:c>
      <x:c r="G7" s="80" t="n">
        <x:v>2500</x:v>
      </x:c>
      <x:c r="H7" s="82" t="n">
        <x:v>0</x:v>
      </x:c>
      <x:c r="I7" s="82" t="n">
        <x:v>1</x:v>
      </x:c>
      <x:c r="J7" s="84" t="n">
        <x:f>VLOOKUP(C7,'Model Prices'!$A$6:$I$15,3,FALSE)</x:f>
        <x:v>0.2</x:v>
      </x:c>
      <x:c r="K7" s="84" t="n">
        <x:f>VLOOKUP(C7,'Model Prices'!$A$6:$I$15,4,FALSE)</x:f>
        <x:v>0.02</x:v>
      </x:c>
      <x:c r="L7" s="84" t="n">
        <x:f>VLOOKUP(C7,'Model Prices'!$A$6:$I$15,6,FALSE)</x:f>
        <x:v>1.2</x:v>
      </x:c>
      <x:c r="M7" s="84" t="n">
        <x:f>VLOOKUP(C7,'Model Prices'!$A$6:$I$15,7,FALSE)</x:f>
        <x:v>0.1</x:v>
      </x:c>
      <x:c r="N7" s="84" t="n">
        <x:f>VLOOKUP(C7,'Model Prices'!$A$6:$I$15,8,FALSE)</x:f>
        <x:v>0.01</x:v>
      </x:c>
      <x:c r="O7" s="84" t="n">
        <x:f>VLOOKUP(C7,'Model Prices'!$A$6:$I$15,9,FALSE)</x:f>
        <x:v>0.6</x:v>
      </x:c>
      <x:c r="P7" s="84" t="n">
        <x:f>(E7*(1-F7)/'Assumptions'!$B$6)*(J7*(1-H7)+M7*H7)+(E7*F7/'Assumptions'!$B$6)*(K7*(1-H7)+N7*H7)+(G7/'Assumptions'!$B$6)*(L7*(1-H7)+O7*H7)</x:f>
        <x:v>0.004168</x:v>
      </x:c>
      <x:c r="Q7" s="84" t="n">
        <x:f>D7*I7*P7*(1+'Assumptions'!$B$13)*(1+'Assumptions'!$B$14)</x:f>
        <x:v>0.004168</x:v>
      </x:c>
      <x:c r="R7" s="29" t="str">
        <x:v>Luna medium; preserves grading weight separately.</x:v>
      </x:c>
    </x:row>
    <x:row r="8" ht="48" customHeight="1">
      <x:c r="A8" s="29" t="str">
        <x:v>P03 Ambiguity triage</x:v>
      </x:c>
      <x:c r="B8" s="29" t="str">
        <x:v>ACTIVITY</x:v>
      </x:c>
      <x:c r="C8" s="74" t="str">
        <x:v>GPT-5.6 Luna</x:v>
      </x:c>
      <x:c r="D8" s="80" t="n">
        <x:v>1</x:v>
      </x:c>
      <x:c r="E8" s="80" t="n">
        <x:v>6500</x:v>
      </x:c>
      <x:c r="F8" s="82" t="n">
        <x:v>0.35</x:v>
      </x:c>
      <x:c r="G8" s="80" t="n">
        <x:v>1800</x:v>
      </x:c>
      <x:c r="H8" s="82" t="n">
        <x:v>0</x:v>
      </x:c>
      <x:c r="I8" s="82" t="n">
        <x:v>1</x:v>
      </x:c>
      <x:c r="J8" s="84" t="n">
        <x:f>VLOOKUP(C8,'Model Prices'!$A$6:$I$15,3,FALSE)</x:f>
        <x:v>0.2</x:v>
      </x:c>
      <x:c r="K8" s="84" t="n">
        <x:f>VLOOKUP(C8,'Model Prices'!$A$6:$I$15,4,FALSE)</x:f>
        <x:v>0.02</x:v>
      </x:c>
      <x:c r="L8" s="84" t="n">
        <x:f>VLOOKUP(C8,'Model Prices'!$A$6:$I$15,6,FALSE)</x:f>
        <x:v>1.2</x:v>
      </x:c>
      <x:c r="M8" s="84" t="n">
        <x:f>VLOOKUP(C8,'Model Prices'!$A$6:$I$15,7,FALSE)</x:f>
        <x:v>0.1</x:v>
      </x:c>
      <x:c r="N8" s="84" t="n">
        <x:f>VLOOKUP(C8,'Model Prices'!$A$6:$I$15,8,FALSE)</x:f>
        <x:v>0.01</x:v>
      </x:c>
      <x:c r="O8" s="84" t="n">
        <x:f>VLOOKUP(C8,'Model Prices'!$A$6:$I$15,9,FALSE)</x:f>
        <x:v>0.6</x:v>
      </x:c>
      <x:c r="P8" s="84" t="n">
        <x:f>(E8*(1-F8)/'Assumptions'!$B$6)*(J8*(1-H8)+M8*H8)+(E8*F8/'Assumptions'!$B$6)*(K8*(1-H8)+N8*H8)+(G8/'Assumptions'!$B$6)*(L8*(1-H8)+O8*H8)</x:f>
        <x:v>0.0030505</x:v>
      </x:c>
      <x:c r="Q8" s="84" t="n">
        <x:f>D8*I8*P8*(1+'Assumptions'!$B$13)*(1+'Assumptions'!$B$14)</x:f>
        <x:v>0.0030505</x:v>
      </x:c>
      <x:c r="R8" s="29" t="str">
        <x:v>Luna high; groups/explains issues and never decides for the teacher.</x:v>
      </x:c>
    </x:row>
    <x:row r="9" ht="48" customHeight="1">
      <x:c r="A9" s="29" t="str">
        <x:v>P04 Blueprint catalog</x:v>
      </x:c>
      <x:c r="B9" s="29" t="str">
        <x:v>ACTIVITY</x:v>
      </x:c>
      <x:c r="C9" s="74" t="str">
        <x:v>GPT-5.6 Luna</x:v>
      </x:c>
      <x:c r="D9" s="80" t="n">
        <x:v>1</x:v>
      </x:c>
      <x:c r="E9" s="80" t="n">
        <x:v>12000</x:v>
      </x:c>
      <x:c r="F9" s="82" t="n">
        <x:v>0.35</x:v>
      </x:c>
      <x:c r="G9" s="80" t="n">
        <x:v>4500</x:v>
      </x:c>
      <x:c r="H9" s="82" t="n">
        <x:v>0</x:v>
      </x:c>
      <x:c r="I9" s="82" t="n">
        <x:v>1</x:v>
      </x:c>
      <x:c r="J9" s="84" t="n">
        <x:f>VLOOKUP(C9,'Model Prices'!$A$6:$I$15,3,FALSE)</x:f>
        <x:v>0.2</x:v>
      </x:c>
      <x:c r="K9" s="84" t="n">
        <x:f>VLOOKUP(C9,'Model Prices'!$A$6:$I$15,4,FALSE)</x:f>
        <x:v>0.02</x:v>
      </x:c>
      <x:c r="L9" s="84" t="n">
        <x:f>VLOOKUP(C9,'Model Prices'!$A$6:$I$15,6,FALSE)</x:f>
        <x:v>1.2</x:v>
      </x:c>
      <x:c r="M9" s="84" t="n">
        <x:f>VLOOKUP(C9,'Model Prices'!$A$6:$I$15,7,FALSE)</x:f>
        <x:v>0.1</x:v>
      </x:c>
      <x:c r="N9" s="84" t="n">
        <x:f>VLOOKUP(C9,'Model Prices'!$A$6:$I$15,8,FALSE)</x:f>
        <x:v>0.01</x:v>
      </x:c>
      <x:c r="O9" s="84" t="n">
        <x:f>VLOOKUP(C9,'Model Prices'!$A$6:$I$15,9,FALSE)</x:f>
        <x:v>0.6</x:v>
      </x:c>
      <x:c r="P9" s="84" t="n">
        <x:f>(E9*(1-F9)/'Assumptions'!$B$6)*(J9*(1-H9)+M9*H9)+(E9*F9/'Assumptions'!$B$6)*(K9*(1-H9)+N9*H9)+(G9/'Assumptions'!$B$6)*(L9*(1-H9)+O9*H9)</x:f>
        <x:v>0.007044</x:v>
      </x:c>
      <x:c r="Q9" s="84" t="n">
        <x:f>D9*I9*P9*(1+'Assumptions'!$B$13)*(1+'Assumptions'!$B$14)</x:f>
        <x:v>0.007044</x:v>
      </x:c>
      <x:c r="R9" s="29" t="str">
        <x:v>Luna high; catalog remains independent of question_count.</x:v>
      </x:c>
    </x:row>
    <x:row r="10" ht="48" customHeight="1">
      <x:c r="A10" s="29" t="str">
        <x:v>P05 Blueprint review</x:v>
      </x:c>
      <x:c r="B10" s="29" t="str">
        <x:v>ACTIVITY</x:v>
      </x:c>
      <x:c r="C10" s="74" t="str">
        <x:v>GPT-5.6 Luna</x:v>
      </x:c>
      <x:c r="D10" s="80" t="n">
        <x:v>1</x:v>
      </x:c>
      <x:c r="E10" s="80" t="n">
        <x:v>10000</x:v>
      </x:c>
      <x:c r="F10" s="82" t="n">
        <x:v>0.45</x:v>
      </x:c>
      <x:c r="G10" s="80" t="n">
        <x:v>2500</x:v>
      </x:c>
      <x:c r="H10" s="82" t="n">
        <x:v>0</x:v>
      </x:c>
      <x:c r="I10" s="82" t="n">
        <x:v>1</x:v>
      </x:c>
      <x:c r="J10" s="84" t="n">
        <x:f>VLOOKUP(C10,'Model Prices'!$A$6:$I$15,3,FALSE)</x:f>
        <x:v>0.2</x:v>
      </x:c>
      <x:c r="K10" s="84" t="n">
        <x:f>VLOOKUP(C10,'Model Prices'!$A$6:$I$15,4,FALSE)</x:f>
        <x:v>0.02</x:v>
      </x:c>
      <x:c r="L10" s="84" t="n">
        <x:f>VLOOKUP(C10,'Model Prices'!$A$6:$I$15,6,FALSE)</x:f>
        <x:v>1.2</x:v>
      </x:c>
      <x:c r="M10" s="84" t="n">
        <x:f>VLOOKUP(C10,'Model Prices'!$A$6:$I$15,7,FALSE)</x:f>
        <x:v>0.1</x:v>
      </x:c>
      <x:c r="N10" s="84" t="n">
        <x:f>VLOOKUP(C10,'Model Prices'!$A$6:$I$15,8,FALSE)</x:f>
        <x:v>0.01</x:v>
      </x:c>
      <x:c r="O10" s="84" t="n">
        <x:f>VLOOKUP(C10,'Model Prices'!$A$6:$I$15,9,FALSE)</x:f>
        <x:v>0.6</x:v>
      </x:c>
      <x:c r="P10" s="84" t="n">
        <x:f>(E10*(1-F10)/'Assumptions'!$B$6)*(J10*(1-H10)+M10*H10)+(E10*F10/'Assumptions'!$B$6)*(K10*(1-H10)+N10*H10)+(G10/'Assumptions'!$B$6)*(L10*(1-H10)+O10*H10)</x:f>
        <x:v>0.00419</x:v>
      </x:c>
      <x:c r="Q10" s="84" t="n">
        <x:f>D10*I10*P10*(1+'Assumptions'!$B$13)*(1+'Assumptions'!$B$14)</x:f>
        <x:v>0.00419</x:v>
      </x:c>
      <x:c r="R10" s="29" t="str">
        <x:v>Luna high; independent critical review.</x:v>
      </x:c>
    </x:row>
    <x:row r="11" ht="48" customHeight="1">
      <x:c r="A11" s="29" t="str">
        <x:v>P06 Evidence/opportunity map</x:v>
      </x:c>
      <x:c r="B11" s="29" t="str">
        <x:v>SUBMISSION</x:v>
      </x:c>
      <x:c r="C11" s="74" t="str">
        <x:v>GPT-5.6 Luna</x:v>
      </x:c>
      <x:c r="D11" s="80" t="n">
        <x:v>1</x:v>
      </x:c>
      <x:c r="E11" s="80" t="n">
        <x:v>20000</x:v>
      </x:c>
      <x:c r="F11" s="82" t="n">
        <x:v>0.2</x:v>
      </x:c>
      <x:c r="G11" s="80" t="n">
        <x:v>3500</x:v>
      </x:c>
      <x:c r="H11" s="82" t="n">
        <x:v>0</x:v>
      </x:c>
      <x:c r="I11" s="82" t="n">
        <x:v>1</x:v>
      </x:c>
      <x:c r="J11" s="84" t="n">
        <x:f>VLOOKUP(C11,'Model Prices'!$A$6:$I$15,3,FALSE)</x:f>
        <x:v>0.2</x:v>
      </x:c>
      <x:c r="K11" s="84" t="n">
        <x:f>VLOOKUP(C11,'Model Prices'!$A$6:$I$15,4,FALSE)</x:f>
        <x:v>0.02</x:v>
      </x:c>
      <x:c r="L11" s="84" t="n">
        <x:f>VLOOKUP(C11,'Model Prices'!$A$6:$I$15,6,FALSE)</x:f>
        <x:v>1.2</x:v>
      </x:c>
      <x:c r="M11" s="84" t="n">
        <x:f>VLOOKUP(C11,'Model Prices'!$A$6:$I$15,7,FALSE)</x:f>
        <x:v>0.1</x:v>
      </x:c>
      <x:c r="N11" s="84" t="n">
        <x:f>VLOOKUP(C11,'Model Prices'!$A$6:$I$15,8,FALSE)</x:f>
        <x:v>0.01</x:v>
      </x:c>
      <x:c r="O11" s="84" t="n">
        <x:f>VLOOKUP(C11,'Model Prices'!$A$6:$I$15,9,FALSE)</x:f>
        <x:v>0.6</x:v>
      </x:c>
      <x:c r="P11" s="84" t="n">
        <x:f>(E11*(1-F11)/'Assumptions'!$B$6)*(J11*(1-H11)+M11*H11)+(E11*F11/'Assumptions'!$B$6)*(K11*(1-H11)+N11*H11)+(G11/'Assumptions'!$B$6)*(L11*(1-H11)+O11*H11)</x:f>
        <x:v>0.0074800000000000005</x:v>
      </x:c>
      <x:c r="Q11" s="84" t="n">
        <x:f>D11*I11*P11*(1+'Assumptions'!$B$13)*(1+'Assumptions'!$B$14)</x:f>
        <x:v>0.0074800000000000005</x:v>
      </x:c>
      <x:c r="R11" s="29" t="str">
        <x:v>Luna high; maps dimension, variant, evidence and opportunities.</x:v>
      </x:c>
    </x:row>
    <x:row r="12" ht="48" customHeight="1">
      <x:c r="A12" s="29" t="str">
        <x:v>P07 Planned question build</x:v>
      </x:c>
      <x:c r="B12" s="29" t="str">
        <x:v>SUBMISSION</x:v>
      </x:c>
      <x:c r="C12" s="74" t="str">
        <x:v>GPT-5.6 Luna</x:v>
      </x:c>
      <x:c r="D12" s="80" t="n">
        <x:v>1</x:v>
      </x:c>
      <x:c r="E12" s="80" t="n">
        <x:v>15000</x:v>
      </x:c>
      <x:c r="F12" s="82" t="n">
        <x:v>0.35</x:v>
      </x:c>
      <x:c r="G12" s="80" t="n">
        <x:v>3500</x:v>
      </x:c>
      <x:c r="H12" s="82" t="n">
        <x:v>0</x:v>
      </x:c>
      <x:c r="I12" s="82" t="n">
        <x:v>1</x:v>
      </x:c>
      <x:c r="J12" s="84" t="n">
        <x:f>VLOOKUP(C12,'Model Prices'!$A$6:$I$15,3,FALSE)</x:f>
        <x:v>0.2</x:v>
      </x:c>
      <x:c r="K12" s="84" t="n">
        <x:f>VLOOKUP(C12,'Model Prices'!$A$6:$I$15,4,FALSE)</x:f>
        <x:v>0.02</x:v>
      </x:c>
      <x:c r="L12" s="84" t="n">
        <x:f>VLOOKUP(C12,'Model Prices'!$A$6:$I$15,6,FALSE)</x:f>
        <x:v>1.2</x:v>
      </x:c>
      <x:c r="M12" s="84" t="n">
        <x:f>VLOOKUP(C12,'Model Prices'!$A$6:$I$15,7,FALSE)</x:f>
        <x:v>0.1</x:v>
      </x:c>
      <x:c r="N12" s="84" t="n">
        <x:f>VLOOKUP(C12,'Model Prices'!$A$6:$I$15,8,FALSE)</x:f>
        <x:v>0.01</x:v>
      </x:c>
      <x:c r="O12" s="84" t="n">
        <x:f>VLOOKUP(C12,'Model Prices'!$A$6:$I$15,9,FALSE)</x:f>
        <x:v>0.6</x:v>
      </x:c>
      <x:c r="P12" s="84" t="n">
        <x:f>(E12*(1-F12)/'Assumptions'!$B$6)*(J12*(1-H12)+M12*H12)+(E12*F12/'Assumptions'!$B$6)*(K12*(1-H12)+N12*H12)+(G12/'Assumptions'!$B$6)*(L12*(1-H12)+O12*H12)</x:f>
        <x:v>0.006255</x:v>
      </x:c>
      <x:c r="Q12" s="84" t="n">
        <x:f>D12*I12*P12*(1+'Assumptions'!$B$13)*(1+'Assumptions'!$B$14)</x:f>
        <x:v>0.006255</x:v>
      </x:c>
      <x:c r="R12" s="29" t="str">
        <x:v>Luna high; one question per planned opportunity; scenarios scale by question count.</x:v>
      </x:c>
    </x:row>
    <x:row r="13" ht="48" customHeight="1">
      <x:c r="A13" s="29" t="str">
        <x:v>P08 Question semantic review</x:v>
      </x:c>
      <x:c r="B13" s="29" t="str">
        <x:v>SUBMISSION</x:v>
      </x:c>
      <x:c r="C13" s="74" t="str">
        <x:v>GPT-5.6 Luna</x:v>
      </x:c>
      <x:c r="D13" s="80" t="n">
        <x:v>1</x:v>
      </x:c>
      <x:c r="E13" s="80" t="n">
        <x:v>10000</x:v>
      </x:c>
      <x:c r="F13" s="82" t="n">
        <x:v>0.3</x:v>
      </x:c>
      <x:c r="G13" s="80" t="n">
        <x:v>2200</x:v>
      </x:c>
      <x:c r="H13" s="82" t="n">
        <x:v>0</x:v>
      </x:c>
      <x:c r="I13" s="82" t="n">
        <x:v>1</x:v>
      </x:c>
      <x:c r="J13" s="84" t="n">
        <x:f>VLOOKUP(C13,'Model Prices'!$A$6:$I$15,3,FALSE)</x:f>
        <x:v>0.2</x:v>
      </x:c>
      <x:c r="K13" s="84" t="n">
        <x:f>VLOOKUP(C13,'Model Prices'!$A$6:$I$15,4,FALSE)</x:f>
        <x:v>0.02</x:v>
      </x:c>
      <x:c r="L13" s="84" t="n">
        <x:f>VLOOKUP(C13,'Model Prices'!$A$6:$I$15,6,FALSE)</x:f>
        <x:v>1.2</x:v>
      </x:c>
      <x:c r="M13" s="84" t="n">
        <x:f>VLOOKUP(C13,'Model Prices'!$A$6:$I$15,7,FALSE)</x:f>
        <x:v>0.1</x:v>
      </x:c>
      <x:c r="N13" s="84" t="n">
        <x:f>VLOOKUP(C13,'Model Prices'!$A$6:$I$15,8,FALSE)</x:f>
        <x:v>0.01</x:v>
      </x:c>
      <x:c r="O13" s="84" t="n">
        <x:f>VLOOKUP(C13,'Model Prices'!$A$6:$I$15,9,FALSE)</x:f>
        <x:v>0.6</x:v>
      </x:c>
      <x:c r="P13" s="84" t="n">
        <x:f>(E13*(1-F13)/'Assumptions'!$B$6)*(J13*(1-H13)+M13*H13)+(E13*F13/'Assumptions'!$B$6)*(K13*(1-H13)+N13*H13)+(G13/'Assumptions'!$B$6)*(L13*(1-H13)+O13*H13)</x:f>
        <x:v>0.0041</x:v>
      </x:c>
      <x:c r="Q13" s="84" t="n">
        <x:f>D13*I13*P13*(1+'Assumptions'!$B$13)*(1+'Assumptions'!$B$14)</x:f>
        <x:v>0.0041</x:v>
      </x:c>
      <x:c r="R13" s="29" t="str">
        <x:v>Luna high; independent prompt plus deterministic vetoes.</x:v>
      </x:c>
    </x:row>
    <x:row r="14" ht="48" customHeight="1">
      <x:c r="A14" s="32" t="str">
        <x:v>P09 Evaluation guide</x:v>
      </x:c>
      <x:c r="B14" s="32" t="str">
        <x:v>SUBMISSION</x:v>
      </x:c>
      <x:c r="C14" s="75" t="str">
        <x:v>GPT-5.6 Luna</x:v>
      </x:c>
      <x:c r="D14" s="81" t="n">
        <x:v>1</x:v>
      </x:c>
      <x:c r="E14" s="81" t="n">
        <x:v>7000</x:v>
      </x:c>
      <x:c r="F14" s="83" t="n">
        <x:v>0.4</x:v>
      </x:c>
      <x:c r="G14" s="81" t="n">
        <x:v>1800</x:v>
      </x:c>
      <x:c r="H14" s="83" t="n">
        <x:v>0</x:v>
      </x:c>
      <x:c r="I14" s="83" t="n">
        <x:v>1</x:v>
      </x:c>
      <x:c r="J14" s="85" t="n">
        <x:f>VLOOKUP(C14,'Model Prices'!$A$6:$I$15,3,FALSE)</x:f>
        <x:v>0.2</x:v>
      </x:c>
      <x:c r="K14" s="85" t="n">
        <x:f>VLOOKUP(C14,'Model Prices'!$A$6:$I$15,4,FALSE)</x:f>
        <x:v>0.02</x:v>
      </x:c>
      <x:c r="L14" s="85" t="n">
        <x:f>VLOOKUP(C14,'Model Prices'!$A$6:$I$15,6,FALSE)</x:f>
        <x:v>1.2</x:v>
      </x:c>
      <x:c r="M14" s="85" t="n">
        <x:f>VLOOKUP(C14,'Model Prices'!$A$6:$I$15,7,FALSE)</x:f>
        <x:v>0.1</x:v>
      </x:c>
      <x:c r="N14" s="85" t="n">
        <x:f>VLOOKUP(C14,'Model Prices'!$A$6:$I$15,8,FALSE)</x:f>
        <x:v>0.01</x:v>
      </x:c>
      <x:c r="O14" s="85" t="n">
        <x:f>VLOOKUP(C14,'Model Prices'!$A$6:$I$15,9,FALSE)</x:f>
        <x:v>0.6</x:v>
      </x:c>
      <x:c r="P14" s="85" t="n">
        <x:f>(E14*(1-F14)/'Assumptions'!$B$6)*(J14*(1-H14)+M14*H14)+(E14*F14/'Assumptions'!$B$6)*(K14*(1-H14)+N14*H14)+(G14/'Assumptions'!$B$6)*(L14*(1-H14)+O14*H14)</x:f>
        <x:v>0.003056</x:v>
      </x:c>
      <x:c r="Q14" s="85" t="n">
        <x:f>D14*I14*P14*(1+'Assumptions'!$B$13)*(1+'Assumptions'!$B$14)</x:f>
        <x:v>0.003056</x:v>
      </x:c>
      <x:c r="R14" s="32" t="str">
        <x:v>Luna high; structured guide stored in platform.</x:v>
      </x:c>
    </x:row>
    <x:row r="15" ht="42" customHeight="1">
      <x:c r="A15" s="244" t="str">
        <x:v>P10 Enriched context</x:v>
      </x:c>
      <x:c r="B15" s="241" t="str">
        <x:v>SUBMISSION</x:v>
      </x:c>
      <x:c r="C15" s="245" t="str">
        <x:v>GPT-5.6 Luna</x:v>
      </x:c>
      <x:c r="D15" s="247" t="n">
        <x:v>1</x:v>
      </x:c>
      <x:c r="E15" s="247" t="n">
        <x:v>18000</x:v>
      </x:c>
      <x:c r="F15" s="248" t="n">
        <x:v>0.25</x:v>
      </x:c>
      <x:c r="G15" s="247" t="n">
        <x:v>3500</x:v>
      </x:c>
      <x:c r="H15" s="248" t="n">
        <x:v>0</x:v>
      </x:c>
      <x:c r="I15" s="248" t="n">
        <x:v>0</x:v>
      </x:c>
      <x:c r="J15" s="249" t="n">
        <x:f>VLOOKUP(C15,'Model Prices'!$A$6:$I$15,3,FALSE)</x:f>
        <x:v>0.2</x:v>
      </x:c>
      <x:c r="K15" s="249" t="n">
        <x:f>VLOOKUP(C15,'Model Prices'!$A$6:$I$15,4,FALSE)</x:f>
        <x:v>0.02</x:v>
      </x:c>
      <x:c r="L15" s="249" t="n">
        <x:f>VLOOKUP(C15,'Model Prices'!$A$6:$I$15,6,FALSE)</x:f>
        <x:v>1.2</x:v>
      </x:c>
      <x:c r="M15" s="249" t="n">
        <x:f>VLOOKUP(C15,'Model Prices'!$A$6:$I$15,7,FALSE)</x:f>
        <x:v>0.1</x:v>
      </x:c>
      <x:c r="N15" s="249" t="n">
        <x:f>VLOOKUP(C15,'Model Prices'!$A$6:$I$15,8,FALSE)</x:f>
        <x:v>0.01</x:v>
      </x:c>
      <x:c r="O15" s="249" t="n">
        <x:f>VLOOKUP(C15,'Model Prices'!$A$6:$I$15,9,FALSE)</x:f>
        <x:v>0.6</x:v>
      </x:c>
      <x:c r="P15" s="249" t="n">
        <x:f>(E15*(1-F15)/'Assumptions'!$B$6)*(J15*(1-H15)+M15*H15)+(E15*F15/'Assumptions'!$B$6)*(K15*(1-H15)+N15*H15)+(G15/'Assumptions'!$B$6)*(L15*(1-H15)+O15*H15)</x:f>
        <x:v>0.00699</x:v>
      </x:c>
      <x:c r="Q15" s="249" t="n">
        <x:f>D15*I15*P15*(1+'Assumptions'!$B$13)*(1+'Assumptions'!$B$14)</x:f>
        <x:v>0</x:v>
      </x:c>
      <x:c r="R15" s="241" t="str">
        <x:v>Disabled cost proxy only. P10 has zero frequency, no selected model, no callable route and no bake-off authorization in this gate.</x:v>
      </x:c>
    </x:row>
    <x:row r="16" ht="42" customHeight="1">
      <x:c r="A16" s="244" t="str">
        <x:v>P11 Schema repair</x:v>
      </x:c>
      <x:c r="B16" s="241" t="str">
        <x:v>SUBMISSION</x:v>
      </x:c>
      <x:c r="C16" s="245" t="str">
        <x:v>GPT-5.6 Luna</x:v>
      </x:c>
      <x:c r="D16" s="247" t="n">
        <x:v>1</x:v>
      </x:c>
      <x:c r="E16" s="247" t="n">
        <x:v>3500</x:v>
      </x:c>
      <x:c r="F16" s="248" t="n">
        <x:v>0</x:v>
      </x:c>
      <x:c r="G16" s="247" t="n">
        <x:v>1800</x:v>
      </x:c>
      <x:c r="H16" s="248" t="n">
        <x:v>0</x:v>
      </x:c>
      <x:c r="I16" s="248" t="n">
        <x:v>0.05</x:v>
      </x:c>
      <x:c r="J16" s="249" t="n">
        <x:f>VLOOKUP(C16,'Model Prices'!$A$6:$I$15,3,FALSE)</x:f>
        <x:v>0.2</x:v>
      </x:c>
      <x:c r="K16" s="249" t="n">
        <x:f>VLOOKUP(C16,'Model Prices'!$A$6:$I$15,4,FALSE)</x:f>
        <x:v>0.02</x:v>
      </x:c>
      <x:c r="L16" s="249" t="n">
        <x:f>VLOOKUP(C16,'Model Prices'!$A$6:$I$15,6,FALSE)</x:f>
        <x:v>1.2</x:v>
      </x:c>
      <x:c r="M16" s="249" t="n">
        <x:f>VLOOKUP(C16,'Model Prices'!$A$6:$I$15,7,FALSE)</x:f>
        <x:v>0.1</x:v>
      </x:c>
      <x:c r="N16" s="249" t="n">
        <x:f>VLOOKUP(C16,'Model Prices'!$A$6:$I$15,8,FALSE)</x:f>
        <x:v>0.01</x:v>
      </x:c>
      <x:c r="O16" s="249" t="n">
        <x:f>VLOOKUP(C16,'Model Prices'!$A$6:$I$15,9,FALSE)</x:f>
        <x:v>0.6</x:v>
      </x:c>
      <x:c r="P16" s="249" t="n">
        <x:f>(E16*(1-F16)/'Assumptions'!$B$6)*(J16*(1-H16)+M16*H16)+(E16*F16/'Assumptions'!$B$6)*(K16*(1-H16)+N16*H16)+(G16/'Assumptions'!$B$6)*(L16*(1-H16)+O16*H16)</x:f>
        <x:v>0.00286</x:v>
      </x:c>
      <x:c r="Q16" s="249" t="n">
        <x:f>D16*I16*P16*(1+'Assumptions'!$B$13)*(1+'Assumptions'!$B$14)</x:f>
        <x:v>0.000143</x:v>
      </x:c>
      <x:c r="R16" s="241" t="str">
        <x:v>Luna low (human-authorized replacement for historical minimal); desired temperature 0 is not sent because compatibility with GPT-5.6 reasoning is not currently documented. Editable 5% structural-failure frequency.</x:v>
      </x:c>
    </x:row>
  </x:sheetData>
  <x:mergeCells>
    <x:mergeCell ref="A1:R1"/>
    <x:mergeCell ref="A2:R3"/>
  </x:mergeCells>
  <x:dataValidations count="3">
    <x:dataValidation type="list" sqref="C6:C14">
      <x:formula1>'Model Prices'!$A$6:$A$15</x:formula1>
    </x:dataValidation>
    <x:dataValidation type="decimal" operator="between" sqref="H6:H14">
      <x:formula1>0</x:formula1>
      <x:formula2>1</x:formula2>
    </x:dataValidation>
    <x:dataValidation type="decimal" operator="between" sqref="I6:I14">
      <x:formula1>0</x:formula1>
      <x:formula2>1</x:formula2>
    </x:dataValidation>
  </x:dataValidations>
  <x:pageMargins left="0.7" right="0.7" top="0.75" bottom="0.75" header="0.3" footer="0.3"/>
  <x:legacyDrawing xmlns:r="http://schemas.openxmlformats.org/officeDocument/2006/relationships" r:id="R34db071a59314251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7" hidden="0" customWidth="1"/>
    <x:col min="4" max="4" width="17" hidden="0" customWidth="1"/>
    <x:col min="5" max="5" width="15" hidden="0" customWidth="1"/>
    <x:col min="6" max="6" width="18" hidden="0" customWidth="1"/>
    <x:col min="7" max="7" width="18" hidden="0" customWidth="1"/>
    <x:col min="8" max="8" width="22" hidden="0" customWidth="1"/>
    <x:col min="9" max="9" width="17" hidden="0" customWidth="1"/>
    <x:col min="10" max="10" width="16" hidden="0" customWidth="1"/>
    <x:col min="11" max="11" width="16" hidden="0" customWidth="1"/>
    <x:col min="12" max="12" width="17" hidden="0" customWidth="1"/>
    <x:col min="13" max="13" width="12" hidden="0" customWidth="1"/>
    <x:col min="14" max="14" width="12" hidden="0" customWidth="1"/>
    <x:col min="15" max="15" width="17" hidden="0" customWidth="1"/>
    <x:col min="16" max="16" width="16" hidden="0" customWidth="1"/>
    <x:col min="17" max="17" width="18" hidden="0" customWidth="1"/>
    <x:col min="18" max="18" width="16" hidden="0" customWidth="1"/>
    <x:col min="20" max="20" width="28" hidden="0" customWidth="1"/>
    <x:col min="21" max="21" width="17" hidden="0" customWidth="1"/>
    <x:col min="22" max="22" width="22" hidden="0" customWidth="1"/>
    <x:col min="23" max="23" width="21" hidden="0" customWidth="1"/>
    <x:col min="24" max="24" width="20" hidden="0" customWidth="1"/>
    <x:col min="25" max="25" width="19" hidden="0" customWidth="1"/>
    <x:col min="26" max="26" width="16" hidden="0" customWidth="1"/>
  </x:cols>
  <x:sheetData>
    <x:row r="1" ht="28" customHeight="1">
      <x:c r="A1" s="120" t="str">
        <x:v>Scenario cost model v1.1</x:v>
      </x:c>
      <x:c r="B1" s="120"/>
      <x:c r="C1" s="120"/>
      <x:c r="D1" s="120"/>
      <x:c r="E1" s="120"/>
      <x:c r="F1" s="120"/>
      <x:c r="G1" s="120"/>
      <x:c r="H1" s="120"/>
      <x:c r="I1" s="120"/>
      <x:c r="J1" s="120"/>
      <x:c r="K1" s="120"/>
      <x:c r="L1" s="120"/>
      <x:c r="M1" s="120"/>
      <x:c r="N1" s="120"/>
      <x:c r="O1" s="120"/>
      <x:c r="P1" s="120"/>
      <x:c r="Q1" s="120"/>
      <x:c r="R1" s="120"/>
    </x:row>
    <x:row r="2" ht="30" customHeight="1">
      <x:c r="A2" s="124" t="str">
        <x:v>Editable experiment assumptions. Luna prices observed 2026-08-08; scenario results are planning estimates, not quotations.</x:v>
      </x:c>
      <x:c r="B2" s="124"/>
      <x:c r="C2" s="124"/>
      <x:c r="D2" s="124"/>
      <x:c r="E2" s="124"/>
      <x:c r="F2" s="124"/>
      <x:c r="G2" s="124"/>
      <x:c r="H2" s="124"/>
      <x:c r="I2" s="124"/>
      <x:c r="J2" s="124"/>
      <x:c r="K2" s="124"/>
      <x:c r="L2" s="124"/>
      <x:c r="M2" s="124"/>
      <x:c r="N2" s="124"/>
      <x:c r="O2" s="124"/>
      <x:c r="P2" s="124"/>
      <x:c r="Q2" s="124"/>
      <x:c r="R2" s="124"/>
    </x:row>
    <x:row r="3">
      <x:c r="A3" s="132" t="str">
        <x:v>Model cost / activity</x:v>
      </x:c>
      <x:c r="B3" s="133" t="n">
        <x:f>SUMIF('Call Profile'!$B$6:$B$16,"ACTIVITY",'Call Profile'!$Q$6:$Q$16)</x:f>
        <x:v>0.0240205</x:v>
      </x:c>
      <x:c r="D3" s="159" t="str">
        <x:v>How to read: blue cells are editable scenario inputs; green cells are formulas. Models/tokens/cache/batch/escalation are edited by stage in Call Profile. Retry is edited in Assumptions. Technical/delivery excludes fixed infrastructure and human review; Total/delivery includes every modeled cost. Question scaling is a planning approximation until stage telemetry separates fixed and question-driven calls.</x:v>
      </x:c>
      <x:c r="E3" s="160"/>
      <x:c r="F3" s="160"/>
      <x:c r="G3" s="160"/>
      <x:c r="H3" s="160"/>
      <x:c r="I3" s="160"/>
      <x:c r="J3" s="160"/>
      <x:c r="K3" s="160"/>
      <x:c r="L3" s="160"/>
      <x:c r="M3" s="160"/>
      <x:c r="N3" s="160"/>
      <x:c r="O3" s="160"/>
      <x:c r="P3" s="160"/>
      <x:c r="Q3" s="160"/>
      <x:c r="R3" s="161"/>
    </x:row>
    <x:row r="4">
      <x:c r="A4" s="134" t="str">
        <x:v>Model cost / delivery (baseline)</x:v>
      </x:c>
      <x:c r="B4" s="135" t="n">
        <x:f>SUMIF('Call Profile'!$B$6:$B$16,"SUBMISSION",'Call Profile'!$Q$6:$Q$16)</x:f>
        <x:v>0.021034</x:v>
      </x:c>
      <x:c r="D4" s="162"/>
      <x:c r="E4" s="163"/>
      <x:c r="F4" s="163"/>
      <x:c r="G4" s="163"/>
      <x:c r="H4" s="163"/>
      <x:c r="I4" s="163"/>
      <x:c r="J4" s="163"/>
      <x:c r="K4" s="163"/>
      <x:c r="L4" s="163"/>
      <x:c r="M4" s="163"/>
      <x:c r="N4" s="163"/>
      <x:c r="O4" s="163"/>
      <x:c r="P4" s="163"/>
      <x:c r="Q4" s="163"/>
      <x:c r="R4" s="164"/>
    </x:row>
    <x:row r="5">
      <x:c r="A5" s="134" t="str">
        <x:v>Baseline questions / delivery</x:v>
      </x:c>
      <x:c r="B5" s="136" t="n">
        <x:f>'Assumptions'!$B$17</x:f>
        <x:v>5</x:v>
      </x:c>
      <x:c r="D5" s="162"/>
      <x:c r="E5" s="163"/>
      <x:c r="F5" s="163"/>
      <x:c r="G5" s="163"/>
      <x:c r="H5" s="163"/>
      <x:c r="I5" s="163"/>
      <x:c r="J5" s="163"/>
      <x:c r="K5" s="163"/>
      <x:c r="L5" s="163"/>
      <x:c r="M5" s="163"/>
      <x:c r="N5" s="163"/>
      <x:c r="O5" s="163"/>
      <x:c r="P5" s="163"/>
      <x:c r="Q5" s="163"/>
      <x:c r="R5" s="164"/>
    </x:row>
    <x:row r="6">
      <x:c r="A6" s="137" t="str">
        <x:v>Retry / variance contingency</x:v>
      </x:c>
      <x:c r="B6" s="138" t="n">
        <x:f>'Assumptions'!$B$7</x:f>
        <x:v>0.15</x:v>
      </x:c>
      <x:c r="D6" s="162"/>
      <x:c r="E6" s="163"/>
      <x:c r="F6" s="163"/>
      <x:c r="G6" s="163"/>
      <x:c r="H6" s="163"/>
      <x:c r="I6" s="163"/>
      <x:c r="J6" s="163"/>
      <x:c r="K6" s="163"/>
      <x:c r="L6" s="163"/>
      <x:c r="M6" s="163"/>
      <x:c r="N6" s="163"/>
      <x:c r="O6" s="163"/>
      <x:c r="P6" s="163"/>
      <x:c r="Q6" s="163"/>
      <x:c r="R6" s="164"/>
    </x:row>
    <x:row r="7">
      <x:c r="D7" s="165"/>
      <x:c r="E7" s="166"/>
      <x:c r="F7" s="166"/>
      <x:c r="G7" s="166"/>
      <x:c r="H7" s="166"/>
      <x:c r="I7" s="166"/>
      <x:c r="J7" s="166"/>
      <x:c r="K7" s="166"/>
      <x:c r="L7" s="166"/>
      <x:c r="M7" s="166"/>
      <x:c r="N7" s="166"/>
      <x:c r="O7" s="166"/>
      <x:c r="P7" s="166"/>
      <x:c r="Q7" s="166"/>
      <x:c r="R7" s="16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</x:row>
    <x:row r="9" ht="34" customHeight="1">
      <x:c r="A9" s="176" t="str">
        <x:v>Scenario</x:v>
      </x:c>
      <x:c r="B9" s="177" t="str">
        <x:v>Activities/mo</x:v>
      </x:c>
      <x:c r="C9" s="177" t="str">
        <x:v>Deliveries/activity</x:v>
      </x:c>
      <x:c r="D9" s="177" t="str">
        <x:v>Questions/delivery</x:v>
      </x:c>
      <x:c r="E9" s="177" t="str">
        <x:v>Total deliveries</x:v>
      </x:c>
      <x:c r="F9" s="177" t="str">
        <x:v>OCR pages/delivery</x:v>
      </x:c>
      <x:c r="G9" s="177" t="str">
        <x:v>Storage GB/delivery</x:v>
      </x:c>
      <x:c r="H9" s="177" t="str">
        <x:v>Variable compute/delivery</x:v>
      </x:c>
      <x:c r="I9" s="177" t="str">
        <x:v>Review min/delivery</x:v>
      </x:c>
      <x:c r="J9" s="177" t="str">
        <x:v>Fixed infra/mo</x:v>
      </x:c>
      <x:c r="K9" s="177" t="str">
        <x:v>Model - activities</x:v>
      </x:c>
      <x:c r="L9" s="177" t="str">
        <x:v>Model - deliveries</x:v>
      </x:c>
      <x:c r="M9" s="177" t="str">
        <x:v>OCR</x:v>
      </x:c>
      <x:c r="N9" s="177" t="str">
        <x:v>Storage</x:v>
      </x:c>
      <x:c r="O9" s="177" t="str">
        <x:v>Variable compute</x:v>
      </x:c>
      <x:c r="P9" s="177" t="str">
        <x:v>Human review</x:v>
      </x:c>
      <x:c r="Q9" s="177" t="str">
        <x:v>Total experiment</x:v>
      </x:c>
      <x:c r="R9" s="178" t="str">
        <x:v>Total/delivery</x:v>
      </x:c>
    </x:row>
    <x:row r="10" ht="26" customHeight="1">
      <x:c r="A10" s="192" t="str">
        <x:v>MVP cloud free-tier</x:v>
      </x:c>
      <x:c r="B10" s="193" t="n">
        <x:v>10</x:v>
      </x:c>
      <x:c r="C10" s="193" t="n">
        <x:v>20</x:v>
      </x:c>
      <x:c r="D10" s="193" t="n">
        <x:v>5</x:v>
      </x:c>
      <x:c r="E10" s="194" t="n">
        <x:f>B10*C10</x:f>
        <x:v>200</x:v>
      </x:c>
      <x:c r="F10" s="199" t="n">
        <x:v>0.5</x:v>
      </x:c>
      <x:c r="G10" s="202" t="n">
        <x:v>0.02</x:v>
      </x:c>
      <x:c r="H10" s="205" t="n">
        <x:v>0</x:v>
      </x:c>
      <x:c r="I10" s="199" t="n">
        <x:v>4</x:v>
      </x:c>
      <x:c r="J10" s="208" t="n">
        <x:v>0</x:v>
      </x:c>
      <x:c r="K10" s="209" t="n">
        <x:f>B10*$B$3</x:f>
        <x:v>0.240205</x:v>
      </x:c>
      <x:c r="L10" s="209" t="n">
        <x:f>E10*$B$4*(D10/$B$5)*(1+$B$6)</x:f>
        <x:v>4.83782</x:v>
      </x:c>
      <x:c r="M10" s="209" t="n">
        <x:f>E10*F10*'Assumptions'!$B$8</x:f>
        <x:v>0.2</x:v>
      </x:c>
      <x:c r="N10" s="209" t="n">
        <x:f>E10*G10*'Assumptions'!$B$9</x:f>
        <x:v>0</x:v>
      </x:c>
      <x:c r="O10" s="209" t="n">
        <x:f>E10*H10</x:f>
        <x:v>0</x:v>
      </x:c>
      <x:c r="P10" s="209" t="n">
        <x:f>E10*I10/60*'Assumptions'!$B$10</x:f>
        <x:v>466.6666666666667</x:v>
      </x:c>
      <x:c r="Q10" s="209" t="n">
        <x:f>SUM(J10:P10)+'Assumptions'!$B$15</x:f>
        <x:v>471.9446916666667</x:v>
      </x:c>
      <x:c r="R10" s="214" t="n">
        <x:f>IF(E10=0,0,Q10/E10)</x:f>
        <x:v>2.3597234583333333</x:v>
      </x:c>
    </x:row>
    <x:row r="11" ht="26" customHeight="1">
      <x:c r="A11" s="183" t="str">
        <x:v>Pilot</x:v>
      </x:c>
      <x:c r="B11" s="195" t="n">
        <x:v>5</x:v>
      </x:c>
      <x:c r="C11" s="195" t="n">
        <x:v>30</x:v>
      </x:c>
      <x:c r="D11" s="195" t="n">
        <x:v>5</x:v>
      </x:c>
      <x:c r="E11" s="196" t="n">
        <x:f>B11*C11</x:f>
        <x:v>150</x:v>
      </x:c>
      <x:c r="F11" s="200" t="n">
        <x:v>2</x:v>
      </x:c>
      <x:c r="G11" s="203" t="n">
        <x:v>0.02</x:v>
      </x:c>
      <x:c r="H11" s="206" t="n">
        <x:v>0.06</x:v>
      </x:c>
      <x:c r="I11" s="200" t="n">
        <x:v>3</x:v>
      </x:c>
      <x:c r="J11" s="210" t="n">
        <x:v>400</x:v>
      </x:c>
      <x:c r="K11" s="211" t="n">
        <x:f>B11*$B$3</x:f>
        <x:v>0.1201025</x:v>
      </x:c>
      <x:c r="L11" s="211" t="n">
        <x:f>E11*$B$4*(D11/$B$5)*(1+$B$6)</x:f>
        <x:v>3.6283649999999996</x:v>
      </x:c>
      <x:c r="M11" s="211" t="n">
        <x:f>E11*F11*'Assumptions'!$B$8</x:f>
        <x:v>0.6</x:v>
      </x:c>
      <x:c r="N11" s="211" t="n">
        <x:f>E11*G11*'Assumptions'!$B$9</x:f>
        <x:v>0</x:v>
      </x:c>
      <x:c r="O11" s="211" t="n">
        <x:f>E11*H11</x:f>
        <x:v>9</x:v>
      </x:c>
      <x:c r="P11" s="211" t="n">
        <x:f>E11*I11/60*'Assumptions'!$B$10</x:f>
        <x:v>262.5</x:v>
      </x:c>
      <x:c r="Q11" s="211" t="n">
        <x:f>SUM(J11:P11)+'Assumptions'!$B$15</x:f>
        <x:v>675.8484675</x:v>
      </x:c>
      <x:c r="R11" s="215" t="n">
        <x:f>IF(E11=0,0,Q11/E11)</x:f>
        <x:v>4.50565645</x:v>
      </x:c>
    </x:row>
    <x:row r="12" ht="26" customHeight="1">
      <x:c r="A12" s="183" t="str">
        <x:v>Department</x:v>
      </x:c>
      <x:c r="B12" s="195" t="n">
        <x:v>20</x:v>
      </x:c>
      <x:c r="C12" s="195" t="n">
        <x:v>100</x:v>
      </x:c>
      <x:c r="D12" s="195" t="n">
        <x:v>5</x:v>
      </x:c>
      <x:c r="E12" s="196" t="n">
        <x:f>B12*C12</x:f>
        <x:v>2000</x:v>
      </x:c>
      <x:c r="F12" s="200" t="n">
        <x:v>3</x:v>
      </x:c>
      <x:c r="G12" s="203" t="n">
        <x:v>0.025</x:v>
      </x:c>
      <x:c r="H12" s="206" t="n">
        <x:v>0.05</x:v>
      </x:c>
      <x:c r="I12" s="200" t="n">
        <x:v>3</x:v>
      </x:c>
      <x:c r="J12" s="210" t="n">
        <x:v>1200</x:v>
      </x:c>
      <x:c r="K12" s="211" t="n">
        <x:f>B12*$B$3</x:f>
        <x:v>0.48041</x:v>
      </x:c>
      <x:c r="L12" s="211" t="n">
        <x:f>E12*$B$4*(D12/$B$5)*(1+$B$6)</x:f>
        <x:v>48.37819999999999</x:v>
      </x:c>
      <x:c r="M12" s="211" t="n">
        <x:f>E12*F12*'Assumptions'!$B$8</x:f>
        <x:v>12</x:v>
      </x:c>
      <x:c r="N12" s="211" t="n">
        <x:f>E12*G12*'Assumptions'!$B$9</x:f>
        <x:v>0</x:v>
      </x:c>
      <x:c r="O12" s="211" t="n">
        <x:f>E12*H12</x:f>
        <x:v>100</x:v>
      </x:c>
      <x:c r="P12" s="211" t="n">
        <x:f>E12*I12/60*'Assumptions'!$B$10</x:f>
        <x:v>3500</x:v>
      </x:c>
      <x:c r="Q12" s="211" t="n">
        <x:f>SUM(J12:P12)+'Assumptions'!$B$15</x:f>
        <x:v>4860.858609999999</x:v>
      </x:c>
      <x:c r="R12" s="215" t="n">
        <x:f>IF(E12=0,0,Q12/E12)</x:f>
        <x:v>2.4304293049999997</x:v>
      </x:c>
    </x:row>
    <x:row r="13" ht="26" customHeight="1">
      <x:c r="A13" s="183" t="str">
        <x:v>Institution</x:v>
      </x:c>
      <x:c r="B13" s="195" t="n">
        <x:v>100</x:v>
      </x:c>
      <x:c r="C13" s="195" t="n">
        <x:v>200</x:v>
      </x:c>
      <x:c r="D13" s="195" t="n">
        <x:v>5</x:v>
      </x:c>
      <x:c r="E13" s="196" t="n">
        <x:f>B13*C13</x:f>
        <x:v>20000</x:v>
      </x:c>
      <x:c r="F13" s="200" t="n">
        <x:v>4</x:v>
      </x:c>
      <x:c r="G13" s="203" t="n">
        <x:v>0.03</x:v>
      </x:c>
      <x:c r="H13" s="206" t="n">
        <x:v>0.04</x:v>
      </x:c>
      <x:c r="I13" s="200" t="n">
        <x:v>2.5</x:v>
      </x:c>
      <x:c r="J13" s="210" t="n">
        <x:v>3500</x:v>
      </x:c>
      <x:c r="K13" s="211" t="n">
        <x:f>B13*$B$3</x:f>
        <x:v>2.40205</x:v>
      </x:c>
      <x:c r="L13" s="211" t="n">
        <x:f>E13*$B$4*(D13/$B$5)*(1+$B$6)</x:f>
        <x:v>483.782</x:v>
      </x:c>
      <x:c r="M13" s="211" t="n">
        <x:f>E13*F13*'Assumptions'!$B$8</x:f>
        <x:v>160</x:v>
      </x:c>
      <x:c r="N13" s="211" t="n">
        <x:f>E13*G13*'Assumptions'!$B$9</x:f>
        <x:v>0</x:v>
      </x:c>
      <x:c r="O13" s="211" t="n">
        <x:f>E13*H13</x:f>
        <x:v>800</x:v>
      </x:c>
      <x:c r="P13" s="211" t="n">
        <x:f>E13*I13/60*'Assumptions'!$B$10</x:f>
        <x:v>29166.666666666668</x:v>
      </x:c>
      <x:c r="Q13" s="211" t="n">
        <x:f>SUM(J13:P13)+'Assumptions'!$B$15</x:f>
        <x:v>34112.85071666667</x:v>
      </x:c>
      <x:c r="R13" s="215" t="n">
        <x:f>IF(E13=0,0,Q13/E13)</x:f>
        <x:v>1.7056425358333334</x:v>
      </x:c>
    </x:row>
    <x:row r="14" ht="26" customHeight="1">
      <x:c r="A14" s="184" t="str">
        <x:v>High volume</x:v>
      </x:c>
      <x:c r="B14" s="197" t="n">
        <x:v>200</x:v>
      </x:c>
      <x:c r="C14" s="197" t="n">
        <x:v>500</x:v>
      </x:c>
      <x:c r="D14" s="197" t="n">
        <x:v>5</x:v>
      </x:c>
      <x:c r="E14" s="198" t="n">
        <x:f>B14*C14</x:f>
        <x:v>100000</x:v>
      </x:c>
      <x:c r="F14" s="201" t="n">
        <x:v>5</x:v>
      </x:c>
      <x:c r="G14" s="204" t="n">
        <x:v>0.035</x:v>
      </x:c>
      <x:c r="H14" s="207" t="n">
        <x:v>0.03</x:v>
      </x:c>
      <x:c r="I14" s="201" t="n">
        <x:v>2</x:v>
      </x:c>
      <x:c r="J14" s="212" t="n">
        <x:v>7000</x:v>
      </x:c>
      <x:c r="K14" s="213" t="n">
        <x:f>B14*$B$3</x:f>
        <x:v>4.8041</x:v>
      </x:c>
      <x:c r="L14" s="213" t="n">
        <x:f>E14*$B$4*(D14/$B$5)*(1+$B$6)</x:f>
        <x:v>2418.91</x:v>
      </x:c>
      <x:c r="M14" s="213" t="n">
        <x:f>E14*F14*'Assumptions'!$B$8</x:f>
        <x:v>1000</x:v>
      </x:c>
      <x:c r="N14" s="213" t="n">
        <x:f>E14*G14*'Assumptions'!$B$9</x:f>
        <x:v>0</x:v>
      </x:c>
      <x:c r="O14" s="213" t="n">
        <x:f>E14*H14</x:f>
        <x:v>3000</x:v>
      </x:c>
      <x:c r="P14" s="213" t="n">
        <x:f>E14*I14/60*'Assumptions'!$B$10</x:f>
        <x:v>116666.66666666667</x:v>
      </x:c>
      <x:c r="Q14" s="213" t="n">
        <x:f>SUM(J14:P14)+'Assumptions'!$B$15</x:f>
        <x:v>130090.38076666667</x:v>
      </x:c>
      <x:c r="R14" s="216" t="n">
        <x:f>IF(E14=0,0,Q14/E14)</x:f>
        <x:v>1.3009038076666666</x:v>
      </x:c>
    </x:row>
    <x:row r="21">
      <x:c r="Q21"/>
      <x:c r="R21"/>
      <x:c r="S21"/>
      <x:c r="T21" s="176" t="str">
        <x:v>Scenario</x:v>
      </x:c>
      <x:c r="U21" s="177" t="str">
        <x:v>Model/delivery</x:v>
      </x:c>
      <x:c r="V21" s="177" t="str">
        <x:v>Other technical/delivery</x:v>
      </x:c>
      <x:c r="W21" s="177" t="str">
        <x:v>Infrastructure/delivery</x:v>
      </x:c>
      <x:c r="X21" s="177" t="str">
        <x:v>Human review/delivery</x:v>
      </x:c>
      <x:c r="Y21" s="177" t="str">
        <x:v>Technical/delivery</x:v>
      </x:c>
      <x:c r="Z21" s="178" t="str">
        <x:v>Total/delivery</x:v>
      </x:c>
    </x:row>
    <x:row r="22">
      <x:c r="Q22"/>
      <x:c r="R22"/>
      <x:c r="S22"/>
      <x:c r="T22" s="217" t="str">
        <x:f>A10</x:f>
        <x:v>MVP cloud free-tier</x:v>
      </x:c>
      <x:c r="U22" s="226" t="n">
        <x:f>IF(E10=0,0,(K10+L10)/E10)</x:f>
        <x:v>0.025390125</x:v>
      </x:c>
      <x:c r="V22" s="226" t="n">
        <x:f>IF(E10=0,0,(M10+N10+O10)/E10)</x:f>
        <x:v>0.001</x:v>
      </x:c>
      <x:c r="W22" s="226" t="n">
        <x:f>IF(E10=0,0,J10/E10)</x:f>
        <x:v>0</x:v>
      </x:c>
      <x:c r="X22" s="226" t="n">
        <x:f>IF(E10=0,0,P10/E10)</x:f>
        <x:v>2.3333333333333335</x:v>
      </x:c>
      <x:c r="Y22" s="232" t="n">
        <x:f>IF(E10=0,0,(K10+L10+M10+N10+O10)/E10)</x:f>
        <x:v>0.026390125</x:v>
      </x:c>
      <x:c r="Z22" s="235" t="n">
        <x:f>R10</x:f>
        <x:v>2.3597234583333333</x:v>
      </x:c>
    </x:row>
    <x:row r="23">
      <x:c r="Q23"/>
      <x:c r="R23"/>
      <x:c r="S23"/>
      <x:c r="T23" s="220" t="str">
        <x:f>A11</x:f>
        <x:v>Pilot</x:v>
      </x:c>
      <x:c r="U23" s="228" t="n">
        <x:f>IF(E11=0,0,(K11+L11)/E11)</x:f>
        <x:v>0.024989783333333328</x:v>
      </x:c>
      <x:c r="V23" s="228" t="n">
        <x:f>IF(E11=0,0,(M11+N11+O11)/E11)</x:f>
        <x:v>0.064</x:v>
      </x:c>
      <x:c r="W23" s="228" t="n">
        <x:f>IF(E11=0,0,J11/E11)</x:f>
        <x:v>2.6666666666666665</x:v>
      </x:c>
      <x:c r="X23" s="228" t="n">
        <x:f>IF(E11=0,0,P11/E11)</x:f>
        <x:v>1.75</x:v>
      </x:c>
      <x:c r="Y23" s="233" t="n">
        <x:f>IF(E11=0,0,(K11+L11+M11+N11+O11)/E11)</x:f>
        <x:v>0.08898978333333332</x:v>
      </x:c>
      <x:c r="Z23" s="236" t="n">
        <x:f>R11</x:f>
        <x:v>4.50565645</x:v>
      </x:c>
    </x:row>
    <x:row r="24">
      <x:c r="Q24"/>
      <x:c r="R24"/>
      <x:c r="S24"/>
      <x:c r="T24" s="220" t="str">
        <x:f>A12</x:f>
        <x:v>Department</x:v>
      </x:c>
      <x:c r="U24" s="228" t="n">
        <x:f>IF(E12=0,0,(K12+L12)/E12)</x:f>
        <x:v>0.024429304999999995</x:v>
      </x:c>
      <x:c r="V24" s="228" t="n">
        <x:f>IF(E12=0,0,(M12+N12+O12)/E12)</x:f>
        <x:v>0.056</x:v>
      </x:c>
      <x:c r="W24" s="228" t="n">
        <x:f>IF(E12=0,0,J12/E12)</x:f>
        <x:v>0.6</x:v>
      </x:c>
      <x:c r="X24" s="228" t="n">
        <x:f>IF(E12=0,0,P12/E12)</x:f>
        <x:v>1.75</x:v>
      </x:c>
      <x:c r="Y24" s="233" t="n">
        <x:f>IF(E12=0,0,(K12+L12+M12+N12+O12)/E12)</x:f>
        <x:v>0.08042930499999999</x:v>
      </x:c>
      <x:c r="Z24" s="236" t="n">
        <x:f>R12</x:f>
        <x:v>2.4304293049999997</x:v>
      </x:c>
    </x:row>
    <x:row r="25">
      <x:c r="Q25"/>
      <x:c r="R25"/>
      <x:c r="S25"/>
      <x:c r="T25" s="220" t="str">
        <x:f>A13</x:f>
        <x:v>Institution</x:v>
      </x:c>
      <x:c r="U25" s="228" t="n">
        <x:f>IF(E13=0,0,(K13+L13)/E13)</x:f>
        <x:v>0.024309202499999998</x:v>
      </x:c>
      <x:c r="V25" s="228" t="n">
        <x:f>IF(E13=0,0,(M13+N13+O13)/E13)</x:f>
        <x:v>0.048</x:v>
      </x:c>
      <x:c r="W25" s="228" t="n">
        <x:f>IF(E13=0,0,J13/E13)</x:f>
        <x:v>0.175</x:v>
      </x:c>
      <x:c r="X25" s="228" t="n">
        <x:f>IF(E13=0,0,P13/E13)</x:f>
        <x:v>1.4583333333333335</x:v>
      </x:c>
      <x:c r="Y25" s="233" t="n">
        <x:f>IF(E13=0,0,(K13+L13+M13+N13+O13)/E13)</x:f>
        <x:v>0.07230920249999999</x:v>
      </x:c>
      <x:c r="Z25" s="236" t="n">
        <x:f>R13</x:f>
        <x:v>1.7056425358333334</x:v>
      </x:c>
    </x:row>
    <x:row r="26">
      <x:c r="T26" s="223" t="str">
        <x:f>A14</x:f>
        <x:v>High volume</x:v>
      </x:c>
      <x:c r="U26" s="230" t="n">
        <x:f>IF(E14=0,0,(K14+L14)/E14)</x:f>
        <x:v>0.024237140999999997</x:v>
      </x:c>
      <x:c r="V26" s="230" t="n">
        <x:f>IF(E14=0,0,(M14+N14+O14)/E14)</x:f>
        <x:v>0.04</x:v>
      </x:c>
      <x:c r="W26" s="230" t="n">
        <x:f>IF(E14=0,0,J14/E14)</x:f>
        <x:v>0.07</x:v>
      </x:c>
      <x:c r="X26" s="230" t="n">
        <x:f>IF(E14=0,0,P14/E14)</x:f>
        <x:v>1.1666666666666667</x:v>
      </x:c>
      <x:c r="Y26" s="234" t="n">
        <x:f>IF(E14=0,0,(K14+L14+M14+N14+O14)/E14)</x:f>
        <x:v>0.064237141</x:v>
      </x:c>
      <x:c r="Z26" s="237" t="n">
        <x:f>R14</x:f>
        <x:v>1.3009038076666666</x:v>
      </x:c>
    </x:row>
  </x:sheetData>
  <x:mergeCells>
    <x:mergeCell ref="A1:R1"/>
    <x:mergeCell ref="A2:R2"/>
    <x:mergeCell ref="D3:R7"/>
  </x:mergeCells>
  <x:conditionalFormatting sqref="O9:O12">
    <x:cfRule type="colorScale" priority="1">
      <x:colorScale>
        <x:cfvo type="min"/>
        <x:cfvo type="percentile" val="50"/>
        <x:cfvo type="max"/>
        <x:color rgb="FFDDF3F1"/>
        <x:color rgb="FFFFF4D6"/>
        <x:color rgb="FFFDE7E9"/>
      </x:colorScale>
    </x:cfRule>
  </x:conditionalFormatting>
  <x:conditionalFormatting sqref="R10:R14">
    <x:cfRule type="colorScale" priority="2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pageMargins left="0.7" right="0.7" top="0.75" bottom="0.75" header="0.3" footer="0.3"/>
  <x:drawing xmlns:r="http://schemas.openxmlformats.org/officeDocument/2006/relationships" r:id="Rd9891ead7809416b"/>
  <x:legacyDrawing xmlns:r="http://schemas.openxmlformats.org/officeDocument/2006/relationships" r:id="Rf8d6175429944d6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9" hidden="0" customWidth="1"/>
    <x:col min="3" max="3" width="31" hidden="0" customWidth="1"/>
    <x:col min="4" max="4" width="31" hidden="0" customWidth="1"/>
    <x:col min="5" max="5" width="29" hidden="0" customWidth="1"/>
    <x:col min="6" max="6" width="39" hidden="0" customWidth="1"/>
    <x:col min="7" max="7" width="36" hidden="0" customWidth="1"/>
    <x:col min="8" max="8" width="18" hidden="0" customWidth="1"/>
  </x:cols>
  <x:sheetData>
    <x:row r="1" ht="34" customHeight="1">
      <x:c r="A1" s="3" t="str">
        <x:v>Component matrix</x:v>
      </x:c>
      <x:c r="B1" s="3" t="str">
        <x:v>Component matrix</x:v>
      </x:c>
      <x:c r="C1" s="3" t="str">
        <x:v>Component matrix</x:v>
      </x:c>
      <x:c r="D1" s="3" t="str">
        <x:v>Component matrix</x:v>
      </x:c>
      <x:c r="E1" s="3" t="str">
        <x:v>Component matrix</x:v>
      </x:c>
      <x:c r="F1" s="3" t="str">
        <x:v>Component matrix</x:v>
      </x:c>
      <x:c r="G1" s="3" t="str">
        <x:v>Component matrix</x:v>
      </x:c>
      <x:c r="H1" s="3" t="str">
        <x:v>Component matrix</x:v>
      </x:c>
    </x:row>
    <x:row r="2">
      <x:c r="A2" s="7" t="str">
        <x:v>Recommended cloud MVP technology and explicit failure/observability contracts. Local is only for development, tests and fixtures.</x:v>
      </x:c>
      <x:c r="B2" s="7" t="str">
        <x:v>Recommended MVP technology and the explicit failure/observability contract. Service extraction is deferred until scale, security or team ownership justifies it.</x:v>
      </x:c>
      <x:c r="C2" s="7" t="str">
        <x:v>Recommended MVP technology and the explicit failure/observability contract. Service extraction is deferred until scale, security or team ownership justifies it.</x:v>
      </x:c>
      <x:c r="D2" s="7" t="str">
        <x:v>Recommended MVP technology and the explicit failure/observability contract. Service extraction is deferred until scale, security or team ownership justifies it.</x:v>
      </x:c>
      <x:c r="E2" s="7" t="str">
        <x:v>Recommended MVP technology and the explicit failure/observability contract. Service extraction is deferred until scale, security or team ownership justifies it.</x:v>
      </x:c>
      <x:c r="F2" s="7" t="str">
        <x:v>Recommended MVP technology and the explicit failure/observability contract. Service extraction is deferred until scale, security or team ownership justifies it.</x:v>
      </x:c>
      <x:c r="G2" s="7" t="str">
        <x:v>Recommended MVP technology and the explicit failure/observability contract. Service extraction is deferred until scale, security or team ownership justifies it.</x:v>
      </x:c>
      <x:c r="H2" s="7" t="str">
        <x:v>Recommended MVP technology and the explicit failure/observability contract. Service extraction is deferred until scale, security or team ownership justifies it.</x:v>
      </x:c>
    </x:row>
    <x:row r="3">
      <x:c r="A3" s="7" t="str">
        <x:v>Recommended MVP technology and the explicit failure/observability contract. Service extraction is deferred until scale, security or team ownership justifies it.</x:v>
      </x:c>
      <x:c r="B3" s="7" t="str">
        <x:v>Recommended MVP technology and the explicit failure/observability contract. Service extraction is deferred until scale, security or team ownership justifies it.</x:v>
      </x:c>
      <x:c r="C3" s="7" t="str">
        <x:v>Recommended MVP technology and the explicit failure/observability contract. Service extraction is deferred until scale, security or team ownership justifies it.</x:v>
      </x:c>
      <x:c r="D3" s="7" t="str">
        <x:v>Recommended MVP technology and the explicit failure/observability contract. Service extraction is deferred until scale, security or team ownership justifies it.</x:v>
      </x:c>
      <x:c r="E3" s="7" t="str">
        <x:v>Recommended MVP technology and the explicit failure/observability contract. Service extraction is deferred until scale, security or team ownership justifies it.</x:v>
      </x:c>
      <x:c r="F3" s="7" t="str">
        <x:v>Recommended MVP technology and the explicit failure/observability contract. Service extraction is deferred until scale, security or team ownership justifies it.</x:v>
      </x:c>
      <x:c r="G3" s="7" t="str">
        <x:v>Recommended MVP technology and the explicit failure/observability contract. Service extraction is deferred until scale, security or team ownership justifies it.</x:v>
      </x:c>
      <x:c r="H3" s="7" t="str">
        <x:v>Recommended MVP technology and the explicit failure/observability contract. Service extraction is deferred until scale, security or team ownership justifies it.</x:v>
      </x:c>
    </x:row>
    <x:row r="5">
      <x:c r="A5" s="56" t="str">
        <x:v>Component / function</x:v>
      </x:c>
      <x:c r="B5" s="56" t="str">
        <x:v>Technology</x:v>
      </x:c>
      <x:c r="C5" s="56" t="str">
        <x:v>Input</x:v>
      </x:c>
      <x:c r="D5" s="56" t="str">
        <x:v>Output</x:v>
      </x:c>
      <x:c r="E5" s="56" t="str">
        <x:v>Dependencies</x:v>
      </x:c>
      <x:c r="F5" s="56" t="str">
        <x:v>Possible failure</x:v>
      </x:c>
      <x:c r="G5" s="56" t="str">
        <x:v>Observability</x:v>
      </x:c>
      <x:c r="H5" s="56" t="str">
        <x:v>Roadmap</x:v>
      </x:c>
    </x:row>
    <x:row r="6" ht="70" customHeight="1">
      <x:c r="A6" s="72" t="str">
        <x:v>Web UI</x:v>
      </x:c>
      <x:c r="B6" s="29" t="str">
        <x:v>React + TypeScript + Vite, served with FastAPI initially</x:v>
      </x:c>
      <x:c r="C6" s="29" t="str">
        <x:v>User actions and configs</x:v>
      </x:c>
      <x:c r="D6" s="29" t="str">
        <x:v>Versioned commands/reviews</x:v>
      </x:c>
      <x:c r="E6" s="29" t="str">
        <x:v>Cloud Run Service, API</x:v>
      </x:c>
      <x:c r="F6" s="29" t="str">
        <x:v>Stale edit, inaccessible control</x:v>
      </x:c>
      <x:c r="G6" s="29" t="str">
        <x:v>Frontend errors, task completion, axe</x:v>
      </x:c>
      <x:c r="H6" s="29" t="str">
        <x:v>MVP; Vercel Pro optional later</x:v>
      </x:c>
    </x:row>
    <x:row r="7" ht="70" customHeight="1">
      <x:c r="A7" s="72" t="str">
        <x:v>API and domain</x:v>
      </x:c>
      <x:c r="B7" s="29" t="str">
        <x:v>FastAPI + Pydantic + SQLAlchemy/Alembic on Cloud Run Service</x:v>
      </x:c>
      <x:c r="C7" s="29" t="str">
        <x:v>REST commands/queries</x:v>
      </x:c>
      <x:c r="D7" s="29" t="str">
        <x:v>Contracts, jobs, Problem Details</x:v>
      </x:c>
      <x:c r="E7" s="29" t="str">
        <x:v>Supabase, Auth, R2</x:v>
      </x:c>
      <x:c r="F7" s="29" t="str">
        <x:v>Invalid transition, concurrency</x:v>
      </x:c>
      <x:c r="G7" s="29" t="str">
        <x:v>Latency, error codes, traces</x:v>
      </x:c>
      <x:c r="H7" s="29" t="str">
        <x:v>MVP</x:v>
      </x:c>
    </x:row>
    <x:row r="8" ht="70" customHeight="1">
      <x:c r="A8" s="72" t="str">
        <x:v>Identity and structured data</x:v>
      </x:c>
      <x:c r="B8" s="29" t="str">
        <x:v>Supabase Auth Free + PostgreSQL Free/RLS</x:v>
      </x:c>
      <x:c r="C8" s="29" t="str">
        <x:v>Claims and records</x:v>
      </x:c>
      <x:c r="D8" s="29" t="str">
        <x:v>Actor context and snapshots</x:v>
      </x:c>
      <x:c r="E8" s="29" t="str">
        <x:v>Supabase</x:v>
      </x:c>
      <x:c r="F8" s="29" t="str">
        <x:v>Unauthorized access, quota/connection limit</x:v>
      </x:c>
      <x:c r="G8" s="29" t="str">
        <x:v>Auth denials, DB metrics, scoped tests</x:v>
      </x:c>
      <x:c r="H8" s="29" t="str">
        <x:v>MVP</x:v>
      </x:c>
    </x:row>
    <x:row r="9" ht="70" customHeight="1">
      <x:c r="A9" s="72" t="str">
        <x:v>Durable long jobs</x:v>
      </x:c>
      <x:c r="B9" s="29" t="str">
        <x:v>Cloud Run Jobs + jobs/stage_runs in PostgreSQL; no Redis</x:v>
      </x:c>
      <x:c r="C9" s="29" t="str">
        <x:v>Persisted job command</x:v>
      </x:c>
      <x:c r="D9" s="29" t="str">
        <x:v>Stage outputs/status</x:v>
      </x:c>
      <x:c r="E9" s="29" t="str">
        <x:v>Cloud Run, Supabase</x:v>
      </x:c>
      <x:c r="F9" s="29" t="str">
        <x:v>Duplicate, stuck job, dispatch failure</x:v>
      </x:c>
      <x:c r="G9" s="29" t="str">
        <x:v>Job execution, stage latency, attempts</x:v>
      </x:c>
      <x:c r="H9" s="29" t="str">
        <x:v>MVP</x:v>
      </x:c>
    </x:row>
    <x:row r="10" ht="70" customHeight="1">
      <x:c r="A10" s="72" t="str">
        <x:v>Private object storage</x:v>
      </x:c>
      <x:c r="B10" s="29" t="str">
        <x:v>Cloudflare R2 + signed temporary URLs</x:v>
      </x:c>
      <x:c r="C10" s="29" t="str">
        <x:v>Raw/derived/export bytes</x:v>
      </x:c>
      <x:c r="D10" s="29" t="str">
        <x:v>Object refs and hashes</x:v>
      </x:c>
      <x:c r="E10" s="29" t="str">
        <x:v>R2, API</x:v>
      </x:c>
      <x:c r="F10" s="29" t="str">
        <x:v>Expired URL, quota, wrong key</x:v>
      </x:c>
      <x:c r="G10" s="29" t="str">
        <x:v>Requests, bytes, signature failures</x:v>
      </x:c>
      <x:c r="H10" s="29" t="str">
        <x:v>MVP</x:v>
      </x:c>
    </x:row>
    <x:row r="11" ht="70" customHeight="1">
      <x:c r="A11" s="72" t="str">
        <x:v>Upload and quarantine</x:v>
      </x:c>
      <x:c r="B11" s="29" t="str">
        <x:v>R2 presign + libmagic + ClamAV when feasible</x:v>
      </x:c>
      <x:c r="C11" s="29" t="str">
        <x:v>Untrusted file bytes</x:v>
      </x:c>
      <x:c r="D11" s="29" t="str">
        <x:v>ArtifactRef or rejection</x:v>
      </x:c>
      <x:c r="E11" s="29" t="str">
        <x:v>R2, parser job</x:v>
      </x:c>
      <x:c r="F11" s="29" t="str">
        <x:v>Malware, MIME mismatch, incomplete upload</x:v>
      </x:c>
      <x:c r="G11" s="29" t="str">
        <x:v>Type/rejection rates, AV health</x:v>
      </x:c>
      <x:c r="H11" s="29" t="str">
        <x:v>MVP</x:v>
      </x:c>
    </x:row>
    <x:row r="12" ht="70" customHeight="1">
      <x:c r="A12" s="72" t="str">
        <x:v>Safe parsing</x:v>
      </x:c>
      <x:c r="B12" s="29" t="str">
        <x:v>Container: PyMuPDF, python-docx, libmagic; no network</x:v>
      </x:c>
      <x:c r="C12" s="29" t="str">
        <x:v>Accepted PDF/DOCX/TXT/MD</x:v>
      </x:c>
      <x:c r="D12" s="29" t="str">
        <x:v>EvidenceUnits + crops</x:v>
      </x:c>
      <x:c r="E12" s="29" t="str">
        <x:v>Cloud Run Jobs, R2</x:v>
      </x:c>
      <x:c r="F12" s="29" t="str">
        <x:v>Lost structure, exploit, timeout</x:v>
      </x:c>
      <x:c r="G12" s="29" t="str">
        <x:v>Coverage, confidence, crashes</x:v>
      </x:c>
      <x:c r="H12" s="29" t="str">
        <x:v>MVP; more formats by gate</x:v>
      </x:c>
    </x:row>
    <x:row r="13" ht="70" customHeight="1">
      <x:c r="A13" s="72" t="str">
        <x:v>Evidence store/index</x:v>
      </x:c>
      <x:c r="B13" s="29" t="str">
        <x:v>Supabase PostgreSQL; lexical + optional pgvector</x:v>
      </x:c>
      <x:c r="C13" s="29" t="str">
        <x:v>EvidenceUnits/relations</x:v>
      </x:c>
      <x:c r="D13" s="29" t="str">
        <x:v>Resolvable bundles</x:v>
      </x:c>
      <x:c r="E13" s="29" t="str">
        <x:v>Parser, RLS</x:v>
      </x:c>
      <x:c r="F13" s="29" t="str">
        <x:v>Provenance gap, cross-version mix</x:v>
      </x:c>
      <x:c r="G13" s="29" t="str">
        <x:v>Resolver failures, recall eval</x:v>
      </x:c>
      <x:c r="H13" s="29" t="str">
        <x:v>MVP</x:v>
      </x:c>
    </x:row>
    <x:row r="14" ht="70" customHeight="1">
      <x:c r="A14" s="72" t="str">
        <x:v>Activity/rubric domain</x:v>
      </x:c>
      <x:c r="B14" s="29" t="str">
        <x:v>Rules + P01/P02 structured outputs</x:v>
      </x:c>
      <x:c r="C14" s="29" t="str">
        <x:v>Prompt/rubric evidence</x:v>
      </x:c>
      <x:c r="D14" s="29" t="str">
        <x:v>ActivitySpec/RubricSpec</x:v>
      </x:c>
      <x:c r="E14" s="29" t="str">
        <x:v>Gateway, evidence</x:v>
      </x:c>
      <x:c r="F14" s="29" t="str">
        <x:v>Invented criterion, contradiction</x:v>
      </x:c>
      <x:c r="G14" s="29" t="str">
        <x:v>Schema fails, human edits</x:v>
      </x:c>
      <x:c r="H14" s="29" t="str">
        <x:v>MVP</x:v>
      </x:c>
    </x:row>
    <x:row r="15" ht="70" customHeight="1">
      <x:c r="A15" s="72" t="str">
        <x:v>Blueprint catalog</x:v>
      </x:c>
      <x:c r="B15" s="29" t="str">
        <x:v>Rules + P04/P05; no slots</x:v>
      </x:c>
      <x:c r="C15" s="29" t="str">
        <x:v>Specs and decisions</x:v>
      </x:c>
      <x:c r="D15" s="29" t="str">
        <x:v>Dimensions, variants, supported ops, templates</x:v>
      </x:c>
      <x:c r="E15" s="29" t="str">
        <x:v>Activity domain</x:v>
      </x:c>
      <x:c r="F15" s="29" t="str">
        <x:v>Unsupported op, weak catalog</x:v>
      </x:c>
      <x:c r="G15" s="29" t="str">
        <x:v>Review checks, catalog coverage</x:v>
      </x:c>
      <x:c r="H15" s="29" t="str">
        <x:v>MVP</x:v>
      </x:c>
    </x:row>
    <x:row r="16" ht="70" customHeight="1">
      <x:c r="A16" s="72" t="str">
        <x:v>Opportunity mapping</x:v>
      </x:c>
      <x:c r="B16" s="29" t="str">
        <x:v>P06 Luna-high + deterministic ID checks</x:v>
      </x:c>
      <x:c r="C16" s="29" t="str">
        <x:v>Blueprint + submission evidence</x:v>
      </x:c>
      <x:c r="D16" s="29" t="str">
        <x:v>Variant matches and opportunities</x:v>
      </x:c>
      <x:c r="E16" s="29" t="str">
        <x:v>Gateway, evidence store</x:v>
      </x:c>
      <x:c r="F16" s="29" t="str">
        <x:v>Uncertain mapping, orphan opportunity</x:v>
      </x:c>
      <x:c r="G16" s="29" t="str">
        <x:v>Confidence, exact diagnostic</x:v>
      </x:c>
      <x:c r="H16" s="29" t="str">
        <x:v>MVP</x:v>
      </x:c>
    </x:row>
    <x:row r="17" ht="70" customHeight="1">
      <x:c r="A17" s="72" t="str">
        <x:v>Assessment planner</x:v>
      </x:c>
      <x:c r="B17" s="29" t="str">
        <x:v>Deterministic Python scorer/backtracking</x:v>
      </x:c>
      <x:c r="C17" s="29" t="str">
        <x:v>Opportunities + constraints</x:v>
      </x:c>
      <x:c r="D17" s="29" t="str">
        <x:v>Exactly N primaries + reserve or fail</x:v>
      </x:c>
      <x:c r="E17" s="29" t="str">
        <x:v>Blueprint, mapping</x:v>
      </x:c>
      <x:c r="F17" s="29" t="str">
        <x:v>Infeasible or redundant plan</x:v>
      </x:c>
      <x:c r="G17" s="29" t="str">
        <x:v>Score trace, reuse penalties</x:v>
      </x:c>
      <x:c r="H17" s="29" t="str">
        <x:v>MVP</x:v>
      </x:c>
    </x:row>
    <x:row r="18" ht="70" customHeight="1">
      <x:c r="A18" s="72" t="str">
        <x:v>Question generator</x:v>
      </x:c>
      <x:c r="B18" s="29" t="str">
        <x:v>P07/P10; one call per planned opportunity</x:v>
      </x:c>
      <x:c r="C18" s="29" t="str">
        <x:v>Plan + authorized bundle</x:v>
      </x:c>
      <x:c r="D18" s="29" t="str">
        <x:v>QuestionGenerationResult</x:v>
      </x:c>
      <x:c r="E18" s="29" t="str">
        <x:v>Resolver, prompts</x:v>
      </x:c>
      <x:c r="F18" s="29" t="str">
        <x:v>Weak/invented question</x:v>
      </x:c>
      <x:c r="G18" s="29" t="str">
        <x:v>Replacement rate, tokens</x:v>
      </x:c>
      <x:c r="H18" s="29" t="str">
        <x:v>MVP; P10 flagged</x:v>
      </x:c>
    </x:row>
    <x:row r="19" ht="70" customHeight="1">
      <x:c r="A19" s="72" t="str">
        <x:v>Question validators</x:v>
      </x:c>
      <x:c r="B19" s="29" t="str">
        <x:v>Python rules + P08 Luna-high</x:v>
      </x:c>
      <x:c r="C19" s="29" t="str">
        <x:v>Question + evidence</x:v>
      </x:c>
      <x:c r="D19" s="29" t="str">
        <x:v>Review/veto/scores</x:v>
      </x:c>
      <x:c r="E19" s="29" t="str">
        <x:v>Evidence resolver, gateway</x:v>
      </x:c>
      <x:c r="F19" s="29" t="str">
        <x:v>False accept, correlated error</x:v>
      </x:c>
      <x:c r="G19" s="29" t="str">
        <x:v>Critical fails, human defects</x:v>
      </x:c>
      <x:c r="H19" s="29" t="str">
        <x:v>MVP</x:v>
      </x:c>
    </x:row>
    <x:row r="20" ht="70" customHeight="1">
      <x:c r="A20" s="72" t="str">
        <x:v>Guide in platform</x:v>
      </x:c>
      <x:c r="B20" s="29" t="str">
        <x:v>P09 Luna-high + deterministic cross-checks</x:v>
      </x:c>
      <x:c r="C20" s="29" t="str">
        <x:v>Complete Assessment</x:v>
      </x:c>
      <x:c r="D20" s="29" t="str">
        <x:v>EvaluationGuide by assessment/submission</x:v>
      </x:c>
      <x:c r="E20" s="29" t="str">
        <x:v>Evidence, validators</x:v>
      </x:c>
      <x:c r="F20" s="29" t="str">
        <x:v>Unsupported/partial guide</x:v>
      </x:c>
      <x:c r="G20" s="29" t="str">
        <x:v>Guide fails, inter-rater defects</x:v>
      </x:c>
      <x:c r="H20" s="29" t="str">
        <x:v>MVP; PDF/HTML optional</x:v>
      </x:c>
    </x:row>
    <x:row r="21" ht="70" customHeight="1">
      <x:c r="A21" s="72" t="str">
        <x:v>Model gateway/resolver</x:v>
      </x:c>
      <x:c r="B21" s="29" t="str">
        <x:v>SDK adapters + capability/policy catalog</x:v>
      </x:c>
      <x:c r="C21" s="29" t="str">
        <x:v>Typed task and requirements</x:v>
      </x:c>
      <x:c r="D21" s="29" t="str">
        <x:v>Resolved route or review/block + ledger</x:v>
      </x:c>
      <x:c r="E21" s="29" t="str">
        <x:v>Providers, policy registry</x:v>
      </x:c>
      <x:c r="F21" s="29" t="str">
        <x:v>Unsupported modality, region/retention mismatch</x:v>
      </x:c>
      <x:c r="G21" s="29" t="str">
        <x:v>Reason codes, tokens, cost, latency</x:v>
      </x:c>
      <x:c r="H21" s="29" t="str">
        <x:v>MVP</x:v>
      </x:c>
    </x:row>
    <x:row r="22" ht="70" customHeight="1">
      <x:c r="A22" s="72" t="str">
        <x:v>Review and bulk approval</x:v>
      </x:c>
      <x:c r="B22" s="29" t="str">
        <x:v>Question actions + explicit confirmed bulk operation</x:v>
      </x:c>
      <x:c r="C22" s="29" t="str">
        <x:v>Selected eligible versions</x:v>
      </x:c>
      <x:c r="D22" s="29" t="str">
        <x:v>Approved/excluded audit record</x:v>
      </x:c>
      <x:c r="E22" s="29" t="str">
        <x:v>Authz, Assessment</x:v>
      </x:c>
      <x:c r="F22" s="29" t="str">
        <x:v>Stale version, hidden exception</x:v>
      </x:c>
      <x:c r="G22" s="29" t="str">
        <x:v>Actor, scope, exclusions</x:v>
      </x:c>
      <x:c r="H22" s="29" t="str">
        <x:v>MVP</x:v>
      </x:c>
    </x:row>
    <x:row r="23" ht="70" customHeight="1">
      <x:c r="A23" s="72" t="str">
        <x:v>Renderer/export</x:v>
      </x:c>
      <x:c r="B23" s="29" t="str">
        <x:v>Jinja2 + WeasyPrint; JSON canonical</x:v>
      </x:c>
      <x:c r="C23" s="29" t="str">
        <x:v>Assessment + EvaluationGuide</x:v>
      </x:c>
      <x:c r="D23" s="29" t="str">
        <x:v>Optional PDF/HTML/CSV</x:v>
      </x:c>
      <x:c r="E23" s="29" t="str">
        <x:v>R2</x:v>
      </x:c>
      <x:c r="F23" s="29" t="str">
        <x:v>Leakage, clipping, render error</x:v>
      </x:c>
      <x:c r="G23" s="29" t="str">
        <x:v>Visual tests, hashes</x:v>
      </x:c>
      <x:c r="H23" s="29" t="str">
        <x:v>MVP</x:v>
      </x:c>
    </x:row>
    <x:row r="24" ht="70" customHeight="1">
      <x:c r="A24" s="72" t="str">
        <x:v>CI/CD</x:v>
      </x:c>
      <x:c r="B24" s="29" t="str">
        <x:v>GitHub + Cloud Build or GitHub Actions -&gt; Cloud Run</x:v>
      </x:c>
      <x:c r="C24" s="29" t="str">
        <x:v>Source, tests, migrations</x:v>
      </x:c>
      <x:c r="D24" s="29" t="str">
        <x:v>Versioned deploy</x:v>
      </x:c>
      <x:c r="E24" s="29" t="str">
        <x:v>Cloud Run/Supabase/R2</x:v>
      </x:c>
      <x:c r="F24" s="29" t="str">
        <x:v>Bad migration, secret leak</x:v>
      </x:c>
      <x:c r="G24" s="29" t="str">
        <x:v>Build/deploy status, rollback</x:v>
      </x:c>
      <x:c r="H24" s="29" t="str">
        <x:v>MVP</x:v>
      </x:c>
    </x:row>
    <x:row r="25" ht="70" customHeight="1">
      <x:c r="A25" s="73" t="str">
        <x:v>LMS integration</x:v>
      </x:c>
      <x:c r="B25" s="32" t="str">
        <x:v>LTI 1.3 + per-LMS adapters</x:v>
      </x:c>
      <x:c r="C25" s="32" t="str">
        <x:v>External refs</x:v>
      </x:c>
      <x:c r="D25" s="32" t="str">
        <x:v>Internal manifests/receipts</x:v>
      </x:c>
      <x:c r="E25" s="32" t="str">
        <x:v>LMS capabilities</x:v>
      </x:c>
      <x:c r="F25" s="32" t="str">
        <x:v>Permission/rate drift</x:v>
      </x:c>
      <x:c r="G25" s="32" t="str">
        <x:v>Cursor/reconcile/auth failures</x:v>
      </x:c>
      <x:c r="H25" s="32" t="str">
        <x:v>Stage 4</x:v>
      </x:c>
    </x:row>
  </x:sheetData>
  <x:mergeCells>
    <x:mergeCell ref="A1:H1"/>
    <x:mergeCell ref="A2:H3"/>
  </x:mergeCells>
  <x:conditionalFormatting sqref="H6:H25">
    <x:cfRule type="containsText" dxfId="1" priority="1" operator="containsText" text="MVP"/>
    <x:cfRule type="containsText" dxfId="2" priority="2" operator="containsText" text="V2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26" hidden="0" customWidth="1"/>
    <x:col min="4" max="4" width="40" hidden="0" customWidth="1"/>
    <x:col min="5" max="5" width="18" hidden="0" customWidth="1"/>
    <x:col min="6" max="6" width="28" hidden="0" customWidth="1"/>
    <x:col min="7" max="7" width="39" hidden="0" customWidth="1"/>
    <x:col min="8" max="8" width="42" hidden="0" customWidth="1"/>
    <x:col min="9" max="9" width="32" hidden="0" customWidth="1"/>
  </x:cols>
  <x:sheetData>
    <x:row r="1" ht="34" customHeight="1">
      <x:c r="A1" s="3" t="str">
        <x:v>Model routing matrix</x:v>
      </x:c>
      <x:c r="B1" s="3" t="str">
        <x:v>Model routing matrix</x:v>
      </x:c>
      <x:c r="C1" s="3" t="str">
        <x:v>Model routing matrix</x:v>
      </x:c>
      <x:c r="D1" s="3" t="str">
        <x:v>Model routing matrix</x:v>
      </x:c>
      <x:c r="E1" s="3" t="str">
        <x:v>Model routing matrix</x:v>
      </x:c>
      <x:c r="F1" s="3" t="str">
        <x:v>Model routing matrix</x:v>
      </x:c>
      <x:c r="G1" s="3" t="str">
        <x:v>Model routing matrix</x:v>
      </x:c>
      <x:c r="H1" s="3" t="str">
        <x:v>Model routing matrix</x:v>
      </x:c>
      <x:c r="I1" s="3" t="str">
        <x:v>Model routing matrix</x:v>
      </x:c>
    </x:row>
    <x:row r="2">
      <x:c r="A2" s="7" t="str">
        <x:v>Active route profile: LUNA_BASELINE_V1. It is deterministic, Luna-only, has no fallback or heuristic selection, and preserves the mixed Sol/Luna profile only as history.</x:v>
      </x:c>
      <x:c r="B2" s="7" t="str">
        <x:v>Primary routes are a hypothesis to validate on the institutional golden set. Quality and privacy gates override price; model snapshots must be pinned where the provider supports it.</x:v>
      </x:c>
      <x:c r="C2" s="7" t="str">
        <x:v>Primary routes are a hypothesis to validate on the institutional golden set. Quality and privacy gates override price; model snapshots must be pinned where the provider supports it.</x:v>
      </x:c>
      <x:c r="D2" s="7" t="str">
        <x:v>Primary routes are a hypothesis to validate on the institutional golden set. Quality and privacy gates override price; model snapshots must be pinned where the provider supports it.</x:v>
      </x:c>
      <x:c r="E2" s="7" t="str">
        <x:v>Primary routes are a hypothesis to validate on the institutional golden set. Quality and privacy gates override price; model snapshots must be pinned where the provider supports it.</x:v>
      </x:c>
      <x:c r="F2" s="7" t="str">
        <x:v>Primary routes are a hypothesis to validate on the institutional golden set. Quality and privacy gates override price; model snapshots must be pinned where the provider supports it.</x:v>
      </x:c>
      <x:c r="G2" s="7" t="str">
        <x:v>Primary routes are a hypothesis to validate on the institutional golden set. Quality and privacy gates override price; model snapshots must be pinned where the provider supports it.</x:v>
      </x:c>
      <x:c r="H2" s="7" t="str">
        <x:v>Primary routes are a hypothesis to validate on the institutional golden set. Quality and privacy gates override price; model snapshots must be pinned where the provider supports it.</x:v>
      </x:c>
      <x:c r="I2" s="7" t="str">
        <x:v>Primary routes are a hypothesis to validate on the institutional golden set. Quality and privacy gates override price; model snapshots must be pinned where the provider supports it.</x:v>
      </x:c>
    </x:row>
    <x:row r="3">
      <x:c r="A3" s="7" t="str">
        <x:v>Active route profile: LUNA_BASELINE_V1. It is deterministic, Luna-only, has no fallback or heuristic selection, and preserves the mixed Sol/Luna profile only as history.</x:v>
      </x:c>
      <x:c r="B3" s="7" t="str">
        <x:v>Primary routes are a hypothesis to validate on the institutional golden set. Quality and privacy gates override price; model snapshots must be pinned where the provider supports it.</x:v>
      </x:c>
      <x:c r="C3" s="7" t="str">
        <x:v>Primary routes are a hypothesis to validate on the institutional golden set. Quality and privacy gates override price; model snapshots must be pinned where the provider supports it.</x:v>
      </x:c>
      <x:c r="D3" s="7" t="str">
        <x:v>Primary routes are a hypothesis to validate on the institutional golden set. Quality and privacy gates override price; model snapshots must be pinned where the provider supports it.</x:v>
      </x:c>
      <x:c r="E3" s="7" t="str">
        <x:v>Primary routes are a hypothesis to validate on the institutional golden set. Quality and privacy gates override price; model snapshots must be pinned where the provider supports it.</x:v>
      </x:c>
      <x:c r="F3" s="7" t="str">
        <x:v>Primary routes are a hypothesis to validate on the institutional golden set. Quality and privacy gates override price; model snapshots must be pinned where the provider supports it.</x:v>
      </x:c>
      <x:c r="G3" s="7" t="str">
        <x:v>Primary routes are a hypothesis to validate on the institutional golden set. Quality and privacy gates override price; model snapshots must be pinned where the provider supports it.</x:v>
      </x:c>
      <x:c r="H3" s="7" t="str">
        <x:v>Primary routes are a hypothesis to validate on the institutional golden set. Quality and privacy gates override price; model snapshots must be pinned where the provider supports it.</x:v>
      </x:c>
      <x:c r="I3" s="7" t="str">
        <x:v>Primary routes are a hypothesis to validate on the institutional golden set. Quality and privacy gates override price; model snapshots must be pinned where the provider supports it.</x:v>
      </x:c>
    </x:row>
    <x:row r="5">
      <x:c r="A5" s="56" t="str">
        <x:v>Prompt / task</x:v>
      </x:c>
      <x:c r="B5" s="56" t="str">
        <x:v>Initial route</x:v>
      </x:c>
      <x:c r="C5" s="56" t="str">
        <x:v>Reasoning effort</x:v>
      </x:c>
      <x:c r="D5" s="56" t="str">
        <x:v>Temperature</x:v>
      </x:c>
      <x:c r="E5" s="56" t="str">
        <x:v>Required capability</x:v>
      </x:c>
      <x:c r="F5" s="56" t="str">
        <x:v>Fallback</x:v>
      </x:c>
      <x:c r="G5" s="56" t="str">
        <x:v>Observable eligibility / escalation</x:v>
      </x:c>
      <x:c r="H5" s="56" t="str">
        <x:v>Privacy / policy gate</x:v>
      </x:c>
      <x:c r="I5" s="56" t="str">
        <x:v>Evaluation gate</x:v>
      </x:c>
    </x:row>
    <x:row r="6" ht="68" customHeight="1">
      <x:c r="A6" s="72" t="str">
        <x:v>P01 Activity spec</x:v>
      </x:c>
      <x:c r="B6" s="29" t="str">
        <x:v>GPT-5.6 Luna</x:v>
      </x:c>
      <x:c r="C6" s="29" t="str">
        <x:v>medium</x:v>
      </x:c>
      <x:c r="D6" s="29" t="str">
        <x:v>low</x:v>
      </x:c>
      <x:c r="E6" s="29" t="str">
        <x:v>Text + structured JSON</x:v>
      </x:c>
      <x:c r="F6" s="29" t="str">
        <x:v>None</x:v>
      </x:c>
      <x:c r="G6" s="29" t="str">
        <x:v>No dynamic escalation</x:v>
      </x:c>
      <x:c r="H6" s="29" t="str">
        <x:v>Region/retention/budget approved</x:v>
      </x:c>
      <x:c r="I6" s="29" t="str">
        <x:v>Sourced statements; no invention</x:v>
      </x:c>
    </x:row>
    <x:row r="7" ht="68" customHeight="1">
      <x:c r="A7" s="72" t="str">
        <x:v>P02 Rubric normalize</x:v>
      </x:c>
      <x:c r="B7" s="29" t="str">
        <x:v>GPT-5.6 Luna</x:v>
      </x:c>
      <x:c r="C7" s="29" t="str">
        <x:v>medium</x:v>
      </x:c>
      <x:c r="D7" s="29" t="str">
        <x:v>low</x:v>
      </x:c>
      <x:c r="E7" s="29" t="str">
        <x:v>Text + structured JSON</x:v>
      </x:c>
      <x:c r="F7" s="29" t="str">
        <x:v>None</x:v>
      </x:c>
      <x:c r="G7" s="29" t="str">
        <x:v>No dynamic escalation</x:v>
      </x:c>
      <x:c r="H7" s="29" t="str">
        <x:v>Assignment/rubric only</x:v>
      </x:c>
      <x:c r="I7" s="29" t="str">
        <x:v>0 invented criteria</x:v>
      </x:c>
    </x:row>
    <x:row r="8" ht="68" customHeight="1">
      <x:c r="A8" s="72" t="str">
        <x:v>P03 Ambiguity triage</x:v>
      </x:c>
      <x:c r="B8" s="29" t="str">
        <x:v>GPT-5.6 Luna</x:v>
      </x:c>
      <x:c r="C8" s="29" t="str">
        <x:v>high</x:v>
      </x:c>
      <x:c r="D8" s="29" t="str">
        <x:v>low</x:v>
      </x:c>
      <x:c r="E8" s="29" t="str">
        <x:v>Text + structured JSON</x:v>
      </x:c>
      <x:c r="F8" s="29" t="str">
        <x:v>None</x:v>
      </x:c>
      <x:c r="G8" s="29" t="str">
        <x:v>Mapping uncertainty or policy issue</x:v>
      </x:c>
      <x:c r="H8" s="29" t="str">
        <x:v>No student bundle required</x:v>
      </x:c>
      <x:c r="I8" s="29" t="str">
        <x:v>Never resolves teacher decision</x:v>
      </x:c>
    </x:row>
    <x:row r="9" ht="68" customHeight="1">
      <x:c r="A9" s="72" t="str">
        <x:v>P04 Blueprint build</x:v>
      </x:c>
      <x:c r="B9" s="29" t="str">
        <x:v>GPT-5.6 Luna</x:v>
      </x:c>
      <x:c r="C9" s="29" t="str">
        <x:v>high</x:v>
      </x:c>
      <x:c r="D9" s="29" t="str">
        <x:v>low</x:v>
      </x:c>
      <x:c r="E9" s="29" t="str">
        <x:v>Long text + structured JSON</x:v>
      </x:c>
      <x:c r="F9" s="29" t="str">
        <x:v>None</x:v>
      </x:c>
      <x:c r="G9" s="29" t="str">
        <x:v>Critical P05 correction</x:v>
      </x:c>
      <x:c r="H9" s="29" t="str">
        <x:v>No student content</x:v>
      </x:c>
      <x:c r="I9" s="29" t="str">
        <x:v>Catalog valid and independent of N</x:v>
      </x:c>
    </x:row>
    <x:row r="10" ht="68" customHeight="1">
      <x:c r="A10" s="72" t="str">
        <x:v>P05 Blueprint review</x:v>
      </x:c>
      <x:c r="B10" s="29" t="str">
        <x:v>GPT-5.6 Luna</x:v>
      </x:c>
      <x:c r="C10" s="29" t="str">
        <x:v>high</x:v>
      </x:c>
      <x:c r="D10" s="29" t="str">
        <x:v>low</x:v>
      </x:c>
      <x:c r="E10" s="29" t="str">
        <x:v>Long text + structured JSON</x:v>
      </x:c>
      <x:c r="F10" s="29" t="str">
        <x:v>None</x:v>
      </x:c>
      <x:c r="G10" s="29" t="str">
        <x:v>Critical FAIL</x:v>
      </x:c>
      <x:c r="H10" s="29" t="str">
        <x:v>No generator free rationale</x:v>
      </x:c>
      <x:c r="I10" s="29" t="str">
        <x:v>Critical FAIL -&gt; REJECT</x:v>
      </x:c>
    </x:row>
    <x:row r="11" ht="68" customHeight="1">
      <x:c r="A11" s="72" t="str">
        <x:v>P06 Evidence/opportunities</x:v>
      </x:c>
      <x:c r="B11" s="29" t="str">
        <x:v>GPT-5.6 Luna</x:v>
      </x:c>
      <x:c r="C11" s="29" t="str">
        <x:v>high</x:v>
      </x:c>
      <x:c r="D11" s="29" t="str">
        <x:v>low</x:v>
      </x:c>
      <x:c r="E11" s="29" t="str">
        <x:v>Text/image crop + structured JSON</x:v>
      </x:c>
      <x:c r="F11" s="29" t="str">
        <x:v>None</x:v>
      </x:c>
      <x:c r="G11" s="29" t="str">
        <x:v>Low extraction confidence, insufficient detail, complex relation</x:v>
      </x:c>
      <x:c r="H11" s="29" t="str">
        <x:v>One minimized submission</x:v>
      </x:c>
      <x:c r="I11" s="29" t="str">
        <x:v>No orphan or unsupported operation</x:v>
      </x:c>
    </x:row>
    <x:row r="12" ht="68" customHeight="1">
      <x:c r="A12" s="72" t="str">
        <x:v>P07 Question build</x:v>
      </x:c>
      <x:c r="B12" s="29" t="str">
        <x:v>GPT-5.6 Luna</x:v>
      </x:c>
      <x:c r="C12" s="29" t="str">
        <x:v>high</x:v>
      </x:c>
      <x:c r="D12" s="29" t="str">
        <x:v>low</x:v>
      </x:c>
      <x:c r="E12" s="29" t="str">
        <x:v>Text/image crop + structured JSON</x:v>
      </x:c>
      <x:c r="F12" s="29" t="str">
        <x:v>None</x:v>
      </x:c>
      <x:c r="G12" s="29" t="str">
        <x:v>Validation failure; no model/provider widening</x:v>
      </x:c>
      <x:c r="H12" s="29" t="str">
        <x:v>Authorized IDs only</x:v>
      </x:c>
      <x:c r="I12" s="29" t="str">
        <x:v>Grounding and answerability</x:v>
      </x:c>
    </x:row>
    <x:row r="13" ht="68" customHeight="1">
      <x:c r="A13" s="72" t="str">
        <x:v>P08 Question review</x:v>
      </x:c>
      <x:c r="B13" s="29" t="str">
        <x:v>GPT-5.6 Luna</x:v>
      </x:c>
      <x:c r="C13" s="29" t="str">
        <x:v>high</x:v>
      </x:c>
      <x:c r="D13" s="29" t="str">
        <x:v>low</x:v>
      </x:c>
      <x:c r="E13" s="29" t="str">
        <x:v>Text/image crop + structured JSON</x:v>
      </x:c>
      <x:c r="F13" s="29" t="str">
        <x:v>None</x:v>
      </x:c>
      <x:c r="G13" s="29" t="str">
        <x:v>Genuine ambiguity only</x:v>
      </x:c>
      <x:c r="H13" s="29" t="str">
        <x:v>Independent prompt; one submission</x:v>
      </x:c>
      <x:c r="I13" s="29" t="str">
        <x:v>0 critical false accepts</x:v>
      </x:c>
    </x:row>
    <x:row r="14" ht="68" customHeight="1">
      <x:c r="A14" s="72" t="str">
        <x:v>P09 Evaluation guide</x:v>
      </x:c>
      <x:c r="B14" s="29" t="str">
        <x:v>GPT-5.6 Luna</x:v>
      </x:c>
      <x:c r="C14" s="29" t="str">
        <x:v>high</x:v>
      </x:c>
      <x:c r="D14" s="29" t="str">
        <x:v>low</x:v>
      </x:c>
      <x:c r="E14" s="29" t="str">
        <x:v>Structured JSON</x:v>
      </x:c>
      <x:c r="F14" s="29" t="str">
        <x:v>None</x:v>
      </x:c>
      <x:c r="G14" s="29" t="str">
        <x:v>Unsupported observable guide</x:v>
      </x:c>
      <x:c r="H14" s="29" t="str">
        <x:v>Selected evidence only</x:v>
      </x:c>
      <x:c r="I14" s="29" t="str">
        <x:v>Complete platform guide</x:v>
      </x:c>
    </x:row>
    <x:row r="15" ht="68" customHeight="1">
      <x:c r="A15" s="72" t="str">
        <x:v>P10 Enriched context</x:v>
      </x:c>
      <x:c r="B15" s="29" t="str">
        <x:v>DISABLED — no callable route</x:v>
      </x:c>
      <x:c r="C15" s="29" t="str">
        <x:v>n/a</x:v>
      </x:c>
      <x:c r="D15" s="29" t="str">
        <x:v>not sent</x:v>
      </x:c>
      <x:c r="E15" s="29" t="str">
        <x:v>Historical contract only</x:v>
      </x:c>
      <x:c r="F15" s="29" t="str">
        <x:v>None</x:v>
      </x:c>
      <x:c r="G15" s="29" t="str">
        <x:v>Blocked before transport</x:v>
      </x:c>
      <x:c r="H15" s="29" t="str">
        <x:v>CVA_P10_ENABLED=false; no provider authorized</x:v>
      </x:c>
      <x:c r="I15" s="29" t="str">
        <x:v>0 calls</x:v>
      </x:c>
    </x:row>
    <x:row r="16" ht="68" customHeight="1">
      <x:c r="A16" s="72" t="str">
        <x:v>P11 Schema repair</x:v>
      </x:c>
      <x:c r="B16" s="29" t="str">
        <x:v>GPT-5.6 Luna</x:v>
      </x:c>
      <x:c r="C16" s="29" t="str">
        <x:v>low</x:v>
      </x:c>
      <x:c r="D16" s="29" t="str">
        <x:v>not sent (desired 0)</x:v>
      </x:c>
      <x:c r="E16" s="29" t="str">
        <x:v>Structured JSON</x:v>
      </x:c>
      <x:c r="F16" s="29" t="str">
        <x:v>None</x:v>
      </x:c>
      <x:c r="G16" s="29" t="str">
        <x:v>Exactly one structural attempt</x:v>
      </x:c>
      <x:c r="H16" s="29" t="str">
        <x:v>No semantic additions</x:v>
      </x:c>
      <x:c r="I16" s="29" t="str">
        <x:v>Repaired output revalidates</x:v>
      </x:c>
    </x:row>
    <x:row r="17" ht="68" customHeight="1">
      <x:c r="A17" s="72" t="str">
        <x:v>Gemini 3.6 Flash policy</x:v>
      </x:c>
      <x:c r="B17" s="29" t="str">
        <x:v>Not callable in this gate</x:v>
      </x:c>
      <x:c r="C17" s="29" t="str">
        <x:v>n/a</x:v>
      </x:c>
      <x:c r="D17" s="29" t="str">
        <x:v>not sent</x:v>
      </x:c>
      <x:c r="E17" s="29" t="str">
        <x:v>Historical reference only</x:v>
      </x:c>
      <x:c r="F17" s="29" t="str">
        <x:v>None</x:v>
      </x:c>
      <x:c r="G17" s="29" t="str">
        <x:v>No eligibility in this gate</x:v>
      </x:c>
      <x:c r="H17" s="29" t="str">
        <x:v>Non-OpenAI provider not authorized</x:v>
      </x:c>
      <x:c r="I17" s="29" t="str">
        <x:v>No evaluation in this gate</x:v>
      </x:c>
    </x:row>
    <x:row r="18" ht="68" customHeight="1">
      <x:c r="A18" s="73" t="str">
        <x:v>Historical mixed Sol/Luna</x:v>
      </x:c>
      <x:c r="B18" s="32" t="str">
        <x:v>P01/P02/P04/P05 Sol; other callable prompts Luna</x:v>
      </x:c>
      <x:c r="C18" s="32" t="str">
        <x:v>Comparison only</x:v>
      </x:c>
      <x:c r="D18" s="32" t="str">
        <x:v>not sent</x:v>
      </x:c>
      <x:c r="E18" s="32" t="str">
        <x:v>Historical route profile</x:v>
      </x:c>
      <x:c r="F18" s="32" t="str">
        <x:v>None</x:v>
      </x:c>
      <x:c r="G18" s="32" t="str">
        <x:v>Not callable; future human authorization required</x:v>
      </x:c>
      <x:c r="H18" s="32" t="str">
        <x:v>No automatic fallback to Sol</x:v>
      </x:c>
      <x:c r="I18" s="32" t="str">
        <x:v>No evaluation in this gate</x:v>
      </x:c>
    </x:row>
  </x:sheetData>
  <x:mergeCells>
    <x:mergeCell ref="A1:I1"/>
    <x:mergeCell ref="A2:I3"/>
  </x:mergeCells>
  <x:conditionalFormatting sqref="E6:E18">
    <x:cfRule type="containsText" dxfId="3" priority="1" operator="containsText" text="High"/>
    <x:cfRule type="containsText" dxfId="4" priority="2" operator="containsText" text="Low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64" hidden="0" customWidth="1"/>
    <x:col min="4" max="4" width="16" hidden="0" customWidth="1"/>
    <x:col min="5" max="5" width="56" hidden="0" customWidth="1"/>
  </x:cols>
  <x:sheetData>
    <x:row r="1" ht="34" customHeight="1">
      <x:c r="A1" s="3" t="str">
        <x:v>Official sources and date-sensitive inputs</x:v>
      </x:c>
      <x:c r="B1" s="3" t="str">
        <x:v>Official sources and date-sensitive inputs</x:v>
      </x:c>
      <x:c r="C1" s="3" t="str">
        <x:v>Official sources and date-sensitive inputs</x:v>
      </x:c>
      <x:c r="D1" s="3" t="str">
        <x:v>Official sources and date-sensitive inputs</x:v>
      </x:c>
      <x:c r="E1" s="3" t="str">
        <x:v>Official sources and date-sensitive inputs</x:v>
      </x:c>
    </x:row>
    <x:row r="2">
      <x:c r="A2" s="7" t="str">
        <x:v>URLs are plain text for auditability. Recheck prices, retention, model availability and legal timelines before procurement or production changes.</x:v>
      </x:c>
      <x:c r="B2" s="7" t="str">
        <x:v>URLs are plain text for auditability. Recheck prices, retention, model availability and legal timelines before procurement or production changes.</x:v>
      </x:c>
      <x:c r="C2" s="7" t="str">
        <x:v>URLs are plain text for auditability. Recheck prices, retention, model availability and legal timelines before procurement or production changes.</x:v>
      </x:c>
      <x:c r="D2" s="7" t="str">
        <x:v>URLs are plain text for auditability. Recheck prices, retention, model availability and legal timelines before procurement or production changes.</x:v>
      </x:c>
      <x:c r="E2" s="7" t="str">
        <x:v>URLs are plain text for auditability. Recheck prices, retention, model availability and legal timelines before procurement or production changes.</x:v>
      </x:c>
    </x:row>
    <x:row r="3">
      <x:c r="A3" s="7" t="str">
        <x:v>URLs are plain text for auditability. Recheck prices, retention, model availability and legal timelines before procurement or production changes.</x:v>
      </x:c>
      <x:c r="B3" s="7" t="str">
        <x:v>URLs are plain text for auditability. Recheck prices, retention, model availability and legal timelines before procurement or production changes.</x:v>
      </x:c>
      <x:c r="C3" s="7" t="str">
        <x:v>URLs are plain text for auditability. Recheck prices, retention, model availability and legal timelines before procurement or production changes.</x:v>
      </x:c>
      <x:c r="D3" s="7" t="str">
        <x:v>URLs are plain text for auditability. Recheck prices, retention, model availability and legal timelines before procurement or production changes.</x:v>
      </x:c>
      <x:c r="E3" s="7" t="str">
        <x:v>URLs are plain text for auditability. Recheck prices, retention, model availability and legal timelines before procurement or production changes.</x:v>
      </x:c>
    </x:row>
    <x:row r="5">
      <x:c r="A5" s="56" t="str">
        <x:v>Topic</x:v>
      </x:c>
      <x:c r="B5" s="56" t="str">
        <x:v>Source</x:v>
      </x:c>
      <x:c r="C5" s="56" t="str">
        <x:v>URL</x:v>
      </x:c>
      <x:c r="D5" s="56" t="str">
        <x:v>Observed</x:v>
      </x:c>
      <x:c r="E5" s="56" t="str">
        <x:v>Use / caveat</x:v>
      </x:c>
    </x:row>
    <x:row r="6" ht="52" customHeight="1">
      <x:c r="A6" s="72" t="str">
        <x:v>OpenAI pricing</x:v>
      </x:c>
      <x:c r="B6" s="29" t="str">
        <x:v>OpenAI Developer</x:v>
      </x:c>
      <x:c r="C6" s="29" t="str">
        <x:v>https://developers.openai.com/api/docs/pricing</x:v>
      </x:c>
      <x:c r="D6" s="29" t="str">
        <x:v>2026-08-08</x:v>
      </x:c>
      <x:c r="E6" s="29" t="str">
        <x:v>Luna Standard short-context 0.20/0.02/0.25/1.20; Batch 0.10/0.01/0.125/0.60. Recheck before spend.</x:v>
      </x:c>
    </x:row>
    <x:row r="7" ht="52" customHeight="1">
      <x:c r="A7" s="72" t="str">
        <x:v>OpenAI data</x:v>
      </x:c>
      <x:c r="B7" s="29" t="str">
        <x:v>OpenAI Developer</x:v>
      </x:c>
      <x:c r="C7" s="29" t="str">
        <x:v>https://developers.openai.com/api/docs/guides/your-data</x:v>
      </x:c>
      <x:c r="D7" s="29" t="str">
        <x:v>2026-07-17</x:v>
      </x:c>
      <x:c r="E7" s="29" t="str">
        <x:v>No training by default; abuse retention; ZDR/MAM; Batch caveat.</x:v>
      </x:c>
    </x:row>
    <x:row r="8" ht="52" customHeight="1">
      <x:c r="A8" s="72" t="str">
        <x:v>OpenAI models</x:v>
      </x:c>
      <x:c r="B8" s="29" t="str">
        <x:v>OpenAI Developer</x:v>
      </x:c>
      <x:c r="C8" s="29" t="str">
        <x:v>https://developers.openai.com/api/docs/models</x:v>
      </x:c>
      <x:c r="D8" s="29" t="str">
        <x:v>2026-07-17</x:v>
      </x:c>
      <x:c r="E8" s="29" t="str">
        <x:v>Capabilities/context; use pinned snapshots when available.</x:v>
      </x:c>
    </x:row>
    <x:row r="9" ht="52" customHeight="1">
      <x:c r="A9" s="72" t="str">
        <x:v>Anthropic pricing</x:v>
      </x:c>
      <x:c r="B9" s="29" t="str">
        <x:v>Claude Platform</x:v>
      </x:c>
      <x:c r="C9" s="29" t="str">
        <x:v>https://platform.claude.com/docs/en/about-claude/pricing</x:v>
      </x:c>
      <x:c r="D9" s="29" t="str">
        <x:v>2026-07-17</x:v>
      </x:c>
      <x:c r="E9" s="29" t="str">
        <x:v>Standard/cache/batch and Sonnet 5 introductory price.</x:v>
      </x:c>
    </x:row>
    <x:row r="10" ht="52" customHeight="1">
      <x:c r="A10" s="72" t="str">
        <x:v>Anthropic models</x:v>
      </x:c>
      <x:c r="B10" s="29" t="str">
        <x:v>Claude Platform</x:v>
      </x:c>
      <x:c r="C10" s="29" t="str">
        <x:v>https://platform.claude.com/docs/en/about-claude/models/overview</x:v>
      </x:c>
      <x:c r="D10" s="29" t="str">
        <x:v>2026-07-17</x:v>
      </x:c>
      <x:c r="E10" s="29" t="str">
        <x:v>Fable/Opus/Sonnet/Haiku capabilities.</x:v>
      </x:c>
    </x:row>
    <x:row r="11" ht="52" customHeight="1">
      <x:c r="A11" s="72" t="str">
        <x:v>Anthropic retention</x:v>
      </x:c>
      <x:c r="B11" s="29" t="str">
        <x:v>Claude Platform</x:v>
      </x:c>
      <x:c r="C11" s="29" t="str">
        <x:v>https://platform.claude.com/docs/en/manage-claude/api-and-data-retention</x:v>
      </x:c>
      <x:c r="D11" s="29" t="str">
        <x:v>2026-07-17</x:v>
      </x:c>
      <x:c r="E11" s="29" t="str">
        <x:v>ZDR and model-specific retention including Fable.</x:v>
      </x:c>
    </x:row>
    <x:row r="12" ht="52" customHeight="1">
      <x:c r="A12" s="72" t="str">
        <x:v>Gemini pricing</x:v>
      </x:c>
      <x:c r="B12" s="29" t="str">
        <x:v>Google AI for Developers</x:v>
      </x:c>
      <x:c r="C12" s="29" t="str">
        <x:v>https://ai.google.dev/gemini-api/docs/pricing</x:v>
      </x:c>
      <x:c r="D12" s="29" t="str">
        <x:v>2026-07-17</x:v>
      </x:c>
      <x:c r="E12" s="29" t="str">
        <x:v>3.5 Flash, 3.1 Flash-Lite/Pro and cache storage.</x:v>
      </x:c>
    </x:row>
    <x:row r="13" ht="52" customHeight="1">
      <x:c r="A13" s="72" t="str">
        <x:v>Gemini ZDR</x:v>
      </x:c>
      <x:c r="B13" s="29" t="str">
        <x:v>Google AI for Developers</x:v>
      </x:c>
      <x:c r="C13" s="29" t="str">
        <x:v>https://ai.google.dev/gemini-api/docs/zdr</x:v>
      </x:c>
      <x:c r="D13" s="29" t="str">
        <x:v>2026-07-17</x:v>
      </x:c>
      <x:c r="E13" s="29" t="str">
        <x:v>Paid use, ZDR approval and storage caveats.</x:v>
      </x:c>
    </x:row>
    <x:row r="14" ht="52" customHeight="1">
      <x:c r="A14" s="72" t="str">
        <x:v>Docling</x:v>
      </x:c>
      <x:c r="B14" s="29" t="str">
        <x:v>Docling</x:v>
      </x:c>
      <x:c r="C14" s="29" t="str">
        <x:v>https://docling-project.github.io/docling/usage/supported_formats/</x:v>
      </x:c>
      <x:c r="D14" s="29" t="str">
        <x:v>2026-07-17</x:v>
      </x:c>
      <x:c r="E14" s="29" t="str">
        <x:v>Supported formats and unified document model.</x:v>
      </x:c>
    </x:row>
    <x:row r="15" ht="52" customHeight="1">
      <x:c r="A15" s="72" t="str">
        <x:v>PyMuPDF</x:v>
      </x:c>
      <x:c r="B15" s="29" t="str">
        <x:v>PyMuPDF</x:v>
      </x:c>
      <x:c r="C15" s="29" t="str">
        <x:v>https://pymupdf.readthedocs.io/en/latest/app1.html</x:v>
      </x:c>
      <x:c r="D15" s="29" t="str">
        <x:v>2026-07-17</x:v>
      </x:c>
      <x:c r="E15" s="29" t="str">
        <x:v>Blocks/words with coordinates.</x:v>
      </x:c>
    </x:row>
    <x:row r="16" ht="52" customHeight="1">
      <x:c r="A16" s="72" t="str">
        <x:v>Tree-sitter</x:v>
      </x:c>
      <x:c r="B16" s="29" t="str">
        <x:v>Tree-sitter</x:v>
      </x:c>
      <x:c r="C16" s="29" t="str">
        <x:v>https://tree-sitter.github.io/tree-sitter/</x:v>
      </x:c>
      <x:c r="D16" s="29" t="str">
        <x:v>2026-07-17</x:v>
      </x:c>
      <x:c r="E16" s="29" t="str">
        <x:v>Concrete syntax trees without executing code.</x:v>
      </x:c>
    </x:row>
    <x:row r="17" ht="52" customHeight="1">
      <x:c r="A17" s="72" t="str">
        <x:v>OCRmyPDF security</x:v>
      </x:c>
      <x:c r="B17" s="29" t="str">
        <x:v>OCRmyPDF</x:v>
      </x:c>
      <x:c r="C17" s="29" t="str">
        <x:v>https://ocrmypdf.readthedocs.io/en/v15.4.0/pdfsecurity.html</x:v>
      </x:c>
      <x:c r="D17" s="29" t="str">
        <x:v>2026-07-17</x:v>
      </x:c>
      <x:c r="E17" s="29" t="str">
        <x:v>Untrusted PDFs require container/VM isolation.</x:v>
      </x:c>
    </x:row>
    <x:row r="18" ht="52" customHeight="1">
      <x:c r="A18" s="72" t="str">
        <x:v>LTI</x:v>
      </x:c>
      <x:c r="B18" s="29" t="str">
        <x:v>1EdTech</x:v>
      </x:c>
      <x:c r="C18" s="29" t="str">
        <x:v>https://www.1edtech.org/standards/lti</x:v>
      </x:c>
      <x:c r="D18" s="29" t="str">
        <x:v>2026-07-17</x:v>
      </x:c>
      <x:c r="E18" s="29" t="str">
        <x:v>LTI 1.3 security and LTI Advantage services.</x:v>
      </x:c>
    </x:row>
    <x:row r="19" ht="52" customHeight="1">
      <x:c r="A19" s="72" t="str">
        <x:v>Canvas submissions</x:v>
      </x:c>
      <x:c r="B19" s="29" t="str">
        <x:v>Instructure</x:v>
      </x:c>
      <x:c r="C19" s="29" t="str">
        <x:v>https://developerdocs.instructure.com/services/canvas/resources/submissions</x:v>
      </x:c>
      <x:c r="D19" s="29" t="str">
        <x:v>2026-07-17</x:v>
      </x:c>
      <x:c r="E19" s="29" t="str">
        <x:v>Submission/attachment API; permissions vary.</x:v>
      </x:c>
    </x:row>
    <x:row r="20" ht="52" customHeight="1">
      <x:c r="A20" s="72" t="str">
        <x:v>Chile privacy</x:v>
      </x:c>
      <x:c r="B20" s="29" t="str">
        <x:v>Biblioteca del Congreso Nacional</x:v>
      </x:c>
      <x:c r="C20" s="29" t="str">
        <x:v>https://www.bcn.cl/leychile/navegar?idNorma=1209272</x:v>
      </x:c>
      <x:c r="D20" s="29" t="str">
        <x:v>2026-07-17</x:v>
      </x:c>
      <x:c r="E20" s="29" t="str">
        <x:v>Law 21.719 text; effective 2026-12-01.</x:v>
      </x:c>
    </x:row>
    <x:row r="21" ht="52" customHeight="1">
      <x:c r="A21" s="72" t="str">
        <x:v>FERPA vendors</x:v>
      </x:c>
      <x:c r="B21" s="29" t="str">
        <x:v>U.S. Department of Education</x:v>
      </x:c>
      <x:c r="C21" s="29" t="str">
        <x:v>https://studentprivacy.ed.gov/sites/default/files/resource_document/file/Vendor%20FAQ.pdf</x:v>
      </x:c>
      <x:c r="D21" s="29" t="str">
        <x:v>2026-07-17</x:v>
      </x:c>
      <x:c r="E21" s="29" t="str">
        <x:v>Direct control, purpose limitation and destruction.</x:v>
      </x:c>
    </x:row>
    <x:row r="22" ht="52" customHeight="1">
      <x:c r="A22" s="72" t="str">
        <x:v>EU AI Act</x:v>
      </x:c>
      <x:c r="B22" s="29" t="str">
        <x:v>European Commission</x:v>
      </x:c>
      <x:c r="C22" s="29" t="str">
        <x:v>https://digital-strategy.ec.europa.eu/en/policies/regulatory-framework-ai</x:v>
      </x:c>
      <x:c r="D22" s="29" t="str">
        <x:v>2026-07-17</x:v>
      </x:c>
      <x:c r="E22" s="29" t="str">
        <x:v>Risk framework and evolving 2026 implementation timeline.</x:v>
      </x:c>
    </x:row>
    <x:row r="23" ht="52" customHeight="1">
      <x:c r="A23" s="72" t="str">
        <x:v>NIST AI RMF</x:v>
      </x:c>
      <x:c r="B23" s="29" t="str">
        <x:v>NIST</x:v>
      </x:c>
      <x:c r="C23" s="29" t="str">
        <x:v>https://www.nist.gov/itl/ai-risk-management-framework</x:v>
      </x:c>
      <x:c r="D23" s="29" t="str">
        <x:v>2026-07-17</x:v>
      </x:c>
      <x:c r="E23" s="29" t="str">
        <x:v>Govern, Map, Measure, Manage and GenAI profile.</x:v>
      </x:c>
    </x:row>
    <x:row r="24" ht="52" customHeight="1">
      <x:c r="A24" s="72" t="str">
        <x:v>OWASP LLM Top 10</x:v>
      </x:c>
      <x:c r="B24" s="29" t="str">
        <x:v>OWASP</x:v>
      </x:c>
      <x:c r="C24" s="29" t="str">
        <x:v>https://owasp.org/www-project-top-10-for-large-language-model-applications/</x:v>
      </x:c>
      <x:c r="D24" s="29" t="str">
        <x:v>2026-07-17</x:v>
      </x:c>
      <x:c r="E24" s="29" t="str">
        <x:v>Prompt injection, output handling, agency and overreliance.</x:v>
      </x:c>
    </x:row>
    <x:row r="25" ht="52" customHeight="1">
      <x:c r="A25" s="73" t="str">
        <x:v>WCAG 2.2</x:v>
      </x:c>
      <x:c r="B25" s="32" t="str">
        <x:v>W3C</x:v>
      </x:c>
      <x:c r="C25" s="32" t="str">
        <x:v>https://www.w3.org/TR/WCAG22/</x:v>
      </x:c>
      <x:c r="D25" s="32" t="str">
        <x:v>2026-07-17</x:v>
      </x:c>
      <x:c r="E25" s="32" t="str">
        <x:v>Accessibility conformance target.</x:v>
      </x:c>
    </x:row>
    <x:row r="26" ht="42" customHeight="1">
      <x:c r="A26" s="244" t="str">
        <x:v>Cloud Run overview</x:v>
      </x:c>
      <x:c r="B26" s="241" t="str">
        <x:v>Google Cloud</x:v>
      </x:c>
      <x:c r="C26" s="241" t="str">
        <x:v>https://docs.cloud.google.com/run/docs/overview/what-is-cloud-run</x:v>
      </x:c>
      <x:c r="D26" s="241" t="str">
        <x:v>2026-07-30</x:v>
      </x:c>
      <x:c r="E26" s="241" t="str">
        <x:v>Managed service used for the combined frontend/API container.</x:v>
      </x:c>
    </x:row>
    <x:row r="27" ht="42" customHeight="1">
      <x:c r="A27" s="244" t="str">
        <x:v>Cloud Run Jobs</x:v>
      </x:c>
      <x:c r="B27" s="241" t="str">
        <x:v>Google Cloud</x:v>
      </x:c>
      <x:c r="C27" s="241" t="str">
        <x:v>https://docs.cloud.google.com/run/docs/create-jobs</x:v>
      </x:c>
      <x:c r="D27" s="241" t="str">
        <x:v>2026-07-30</x:v>
      </x:c>
      <x:c r="E27" s="241" t="str">
        <x:v>Long-running work independent of the browser session.</x:v>
      </x:c>
    </x:row>
    <x:row r="28" ht="42" customHeight="1">
      <x:c r="A28" s="244" t="str">
        <x:v>Cloud Run pricing</x:v>
      </x:c>
      <x:c r="B28" s="241" t="str">
        <x:v>Google Cloud</x:v>
      </x:c>
      <x:c r="C28" s="241" t="str">
        <x:v>https://cloud.google.com/run/pricing</x:v>
      </x:c>
      <x:c r="D28" s="241" t="str">
        <x:v>2026-07-30</x:v>
      </x:c>
      <x:c r="E28" s="241" t="str">
        <x:v>Free-tier assumptions and overage source; recheck before deployment.</x:v>
      </x:c>
    </x:row>
    <x:row r="29" ht="42" customHeight="1">
      <x:c r="A29" s="244" t="str">
        <x:v>Supabase pricing</x:v>
      </x:c>
      <x:c r="B29" s="241" t="str">
        <x:v>Supabase</x:v>
      </x:c>
      <x:c r="C29" s="241" t="str">
        <x:v>https://supabase.com/pricing</x:v>
      </x:c>
      <x:c r="D29" s="241" t="str">
        <x:v>2026-07-30</x:v>
      </x:c>
      <x:c r="E29" s="241" t="str">
        <x:v>Free PostgreSQL/Auth planning limits; quotas can change.</x:v>
      </x:c>
    </x:row>
    <x:row r="30" ht="42" customHeight="1">
      <x:c r="A30" s="244" t="str">
        <x:v>Supabase Auth</x:v>
      </x:c>
      <x:c r="B30" s="241" t="str">
        <x:v>Supabase</x:v>
      </x:c>
      <x:c r="C30" s="241" t="str">
        <x:v>https://supabase.com/docs/guides/auth</x:v>
      </x:c>
      <x:c r="D30" s="241" t="str">
        <x:v>2026-07-30</x:v>
      </x:c>
      <x:c r="E30" s="241" t="str">
        <x:v>Invite-only authentication and authorization integration.</x:v>
      </x:c>
    </x:row>
    <x:row r="31" ht="42" customHeight="1">
      <x:c r="A31" s="244" t="str">
        <x:v>Cloudflare R2 pricing</x:v>
      </x:c>
      <x:c r="B31" s="241" t="str">
        <x:v>Cloudflare</x:v>
      </x:c>
      <x:c r="C31" s="241" t="str">
        <x:v>https://developers.cloudflare.com/r2/pricing/</x:v>
      </x:c>
      <x:c r="D31" s="241" t="str">
        <x:v>2026-07-30</x:v>
      </x:c>
      <x:c r="E31" s="241" t="str">
        <x:v>Free allowance, request/storage overages and egress policy.</x:v>
      </x:c>
    </x:row>
    <x:row r="32" ht="42" customHeight="1">
      <x:c r="A32" s="244" t="str">
        <x:v>R2 bucket access</x:v>
      </x:c>
      <x:c r="B32" s="241" t="str">
        <x:v>Cloudflare</x:v>
      </x:c>
      <x:c r="C32" s="241" t="str">
        <x:v>https://developers.cloudflare.com/r2/buckets/public-buckets/</x:v>
      </x:c>
      <x:c r="D32" s="241" t="str">
        <x:v>2026-07-30</x:v>
      </x:c>
      <x:c r="E32" s="241" t="str">
        <x:v>Buckets are kept private; use signed temporary URLs.</x:v>
      </x:c>
    </x:row>
    <x:row r="33" ht="42" customHeight="1">
      <x:c r="A33" s="244" t="str">
        <x:v>Vercel terms</x:v>
      </x:c>
      <x:c r="B33" s="241" t="str">
        <x:v>Vercel</x:v>
      </x:c>
      <x:c r="C33" s="241" t="str">
        <x:v>https://vercel.com/legal/terms</x:v>
      </x:c>
      <x:c r="D33" s="241" t="str">
        <x:v>2026-07-30</x:v>
      </x:c>
      <x:c r="E33" s="241" t="str">
        <x:v>Hobby is personal/non-commercial; Pro is optional for later frontend separation.</x:v>
      </x:c>
    </x:row>
  </x:sheetData>
  <x:mergeCells>
    <x:mergeCell ref="A1:E1"/>
    <x:mergeCell ref="A2:E3"/>
  </x:mergeCells>
  <x:pageMargins left="0.7" right="0.7" top="0.75" bottom="0.75" header="0.3" footer="0.3"/>
</x:worksheet>
</file>